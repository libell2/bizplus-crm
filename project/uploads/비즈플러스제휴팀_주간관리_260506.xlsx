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이종민\Desktop\업무파일\업무보고\5월\1주\"/>
    </mc:Choice>
  </mc:AlternateContent>
  <xr:revisionPtr revIDLastSave="0" documentId="13_ncr:1_{CCBCC385-C7E1-43B3-BDD2-23CC7A284F74}" xr6:coauthVersionLast="47" xr6:coauthVersionMax="47" xr10:uidLastSave="{00000000-0000-0000-0000-000000000000}"/>
  <bookViews>
    <workbookView xWindow="28680" yWindow="-120" windowWidth="29040" windowHeight="16440" activeTab="4" xr2:uid="{00000000-000D-0000-FFFF-FFFF00000000}"/>
  </bookViews>
  <sheets>
    <sheet name="26영업목표" sheetId="35" r:id="rId1"/>
    <sheet name="26매출목표" sheetId="36" r:id="rId2"/>
    <sheet name="26목표관리" sheetId="38" r:id="rId3"/>
    <sheet name="26매출관리" sheetId="39" r:id="rId4"/>
    <sheet name="26인바운드관리" sheetId="27" r:id="rId5"/>
    <sheet name="26아웃바운드관리" sheetId="40" r:id="rId6"/>
    <sheet name="25목표관리" sheetId="12" r:id="rId7"/>
    <sheet name="25매출관리" sheetId="34" r:id="rId8"/>
  </sheets>
  <externalReferences>
    <externalReference r:id="rId9"/>
  </externalReferences>
  <definedNames>
    <definedName name="_xlnm._FilterDatabase" localSheetId="6" hidden="1">'25목표관리'!$I$2:$W$184</definedName>
    <definedName name="_xlnm._FilterDatabase" localSheetId="2" hidden="1">'26목표관리'!$A$13:$S$135</definedName>
    <definedName name="_xlnm._FilterDatabase" localSheetId="4" hidden="1">'26인바운드관리'!$A$13:$Q$422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1" i="38" l="1"/>
  <c r="I132" i="38"/>
  <c r="I133" i="38"/>
  <c r="I134" i="38"/>
  <c r="I135" i="38"/>
  <c r="I122" i="38"/>
  <c r="I123" i="38"/>
  <c r="I124" i="38"/>
  <c r="I125" i="38"/>
  <c r="I126" i="38"/>
  <c r="I127" i="38"/>
  <c r="I128" i="38"/>
  <c r="I129" i="38"/>
  <c r="I130" i="38"/>
  <c r="H14" i="38" l="1"/>
  <c r="H4" i="38"/>
  <c r="D8" i="27"/>
  <c r="C8" i="27"/>
  <c r="D3" i="27"/>
  <c r="C3" i="27"/>
  <c r="G14" i="38"/>
  <c r="E14" i="38" l="1"/>
  <c r="C14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I48" i="38"/>
  <c r="I49" i="38"/>
  <c r="I50" i="38"/>
  <c r="I51" i="38"/>
  <c r="I52" i="38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I70" i="38"/>
  <c r="I71" i="38"/>
  <c r="I72" i="38"/>
  <c r="I73" i="38"/>
  <c r="I74" i="38"/>
  <c r="I75" i="38"/>
  <c r="I76" i="38"/>
  <c r="I77" i="38"/>
  <c r="I78" i="38"/>
  <c r="I79" i="38"/>
  <c r="I80" i="38"/>
  <c r="I81" i="38"/>
  <c r="I82" i="38"/>
  <c r="I83" i="38"/>
  <c r="I84" i="38"/>
  <c r="I85" i="38"/>
  <c r="I86" i="38"/>
  <c r="I87" i="38"/>
  <c r="I88" i="38"/>
  <c r="I89" i="38"/>
  <c r="I90" i="38"/>
  <c r="I91" i="38"/>
  <c r="I92" i="38"/>
  <c r="I93" i="38"/>
  <c r="I94" i="38"/>
  <c r="I95" i="38"/>
  <c r="I96" i="38"/>
  <c r="I97" i="38"/>
  <c r="I98" i="38"/>
  <c r="I99" i="38"/>
  <c r="I100" i="38"/>
  <c r="I101" i="38"/>
  <c r="I102" i="38"/>
  <c r="I103" i="38"/>
  <c r="I104" i="38"/>
  <c r="I105" i="38"/>
  <c r="I106" i="38"/>
  <c r="I107" i="38"/>
  <c r="I108" i="38"/>
  <c r="I109" i="38"/>
  <c r="I110" i="38"/>
  <c r="I111" i="38"/>
  <c r="I112" i="38"/>
  <c r="I113" i="38"/>
  <c r="I114" i="38"/>
  <c r="I115" i="38"/>
  <c r="I116" i="38"/>
  <c r="I117" i="38"/>
  <c r="I118" i="38"/>
  <c r="I119" i="38"/>
  <c r="I120" i="38"/>
  <c r="I121" i="38"/>
  <c r="I15" i="38"/>
  <c r="G4" i="38"/>
  <c r="F14" i="38"/>
  <c r="I14" i="38" l="1"/>
  <c r="F4" i="38"/>
  <c r="E4" i="38"/>
  <c r="D4" i="38"/>
  <c r="G84" i="39"/>
  <c r="G79" i="39"/>
  <c r="G85" i="39" s="1"/>
  <c r="G71" i="39"/>
  <c r="R4" i="38" l="1"/>
  <c r="T3" i="38"/>
  <c r="S3" i="38"/>
  <c r="R3" i="38"/>
  <c r="Q3" i="38"/>
  <c r="R5" i="38" l="1"/>
  <c r="D8" i="38"/>
  <c r="O5" i="38"/>
  <c r="N5" i="38"/>
  <c r="M5" i="38"/>
  <c r="L5" i="38"/>
  <c r="K5" i="38"/>
  <c r="J5" i="38"/>
  <c r="I5" i="38"/>
  <c r="H5" i="38"/>
  <c r="G5" i="38"/>
  <c r="E5" i="38"/>
  <c r="P84" i="39"/>
  <c r="O84" i="39"/>
  <c r="N84" i="39"/>
  <c r="M84" i="39"/>
  <c r="L84" i="39"/>
  <c r="K84" i="39"/>
  <c r="J84" i="39"/>
  <c r="I84" i="39"/>
  <c r="H84" i="39"/>
  <c r="F84" i="39"/>
  <c r="E84" i="39"/>
  <c r="Q84" i="39" s="1"/>
  <c r="Q83" i="39"/>
  <c r="Q82" i="39"/>
  <c r="Q81" i="39"/>
  <c r="Q80" i="39"/>
  <c r="P79" i="39"/>
  <c r="P85" i="39" s="1"/>
  <c r="O79" i="39"/>
  <c r="O85" i="39" s="1"/>
  <c r="N79" i="39"/>
  <c r="N85" i="39" s="1"/>
  <c r="M79" i="39"/>
  <c r="M85" i="39" s="1"/>
  <c r="L79" i="39"/>
  <c r="L85" i="39" s="1"/>
  <c r="K79" i="39"/>
  <c r="K85" i="39" s="1"/>
  <c r="J79" i="39"/>
  <c r="J85" i="39" s="1"/>
  <c r="I79" i="39"/>
  <c r="I85" i="39" s="1"/>
  <c r="H79" i="39"/>
  <c r="F79" i="39"/>
  <c r="E79" i="39"/>
  <c r="Q78" i="39"/>
  <c r="Q76" i="39"/>
  <c r="Q75" i="39"/>
  <c r="Q74" i="39"/>
  <c r="Q73" i="39"/>
  <c r="Q72" i="39"/>
  <c r="P71" i="39"/>
  <c r="O71" i="39"/>
  <c r="N71" i="39"/>
  <c r="M71" i="39"/>
  <c r="L71" i="39"/>
  <c r="K71" i="39"/>
  <c r="J71" i="39"/>
  <c r="I71" i="39"/>
  <c r="H71" i="39"/>
  <c r="F71" i="39"/>
  <c r="E71" i="39"/>
  <c r="Q69" i="39"/>
  <c r="Q68" i="39"/>
  <c r="Q67" i="39"/>
  <c r="Q66" i="39"/>
  <c r="Q65" i="39"/>
  <c r="P59" i="39"/>
  <c r="O59" i="39"/>
  <c r="N59" i="39"/>
  <c r="H59" i="39"/>
  <c r="M58" i="39"/>
  <c r="L58" i="39"/>
  <c r="K58" i="39"/>
  <c r="K59" i="39" s="1"/>
  <c r="J58" i="39"/>
  <c r="I58" i="39"/>
  <c r="E58" i="39"/>
  <c r="K57" i="39"/>
  <c r="G57" i="39"/>
  <c r="G59" i="39" s="1"/>
  <c r="F57" i="39"/>
  <c r="F59" i="39" s="1"/>
  <c r="E57" i="39"/>
  <c r="E59" i="39" s="1"/>
  <c r="M56" i="39"/>
  <c r="L56" i="39"/>
  <c r="K56" i="39"/>
  <c r="J56" i="39"/>
  <c r="J59" i="39" s="1"/>
  <c r="I56" i="39"/>
  <c r="H56" i="39"/>
  <c r="G56" i="39"/>
  <c r="F56" i="39"/>
  <c r="E56" i="39"/>
  <c r="Q55" i="39"/>
  <c r="Q54" i="39"/>
  <c r="Q53" i="39"/>
  <c r="M52" i="39"/>
  <c r="M59" i="39" s="1"/>
  <c r="M57" i="39" s="1"/>
  <c r="L52" i="39"/>
  <c r="L59" i="39" s="1"/>
  <c r="K52" i="39"/>
  <c r="J52" i="39"/>
  <c r="I52" i="39"/>
  <c r="I59" i="39" s="1"/>
  <c r="I57" i="39" s="1"/>
  <c r="H52" i="39"/>
  <c r="G52" i="39"/>
  <c r="F52" i="39"/>
  <c r="E52" i="39"/>
  <c r="Q51" i="39"/>
  <c r="Q49" i="39"/>
  <c r="Q48" i="39"/>
  <c r="Q47" i="39"/>
  <c r="Q46" i="39"/>
  <c r="Q45" i="39"/>
  <c r="M44" i="39"/>
  <c r="L44" i="39"/>
  <c r="K44" i="39"/>
  <c r="J44" i="39"/>
  <c r="I44" i="39"/>
  <c r="H44" i="39"/>
  <c r="G44" i="39"/>
  <c r="F44" i="39"/>
  <c r="E44" i="39"/>
  <c r="Q43" i="39"/>
  <c r="Q42" i="39"/>
  <c r="Q41" i="39"/>
  <c r="Q40" i="39"/>
  <c r="Q39" i="39"/>
  <c r="Q38" i="39"/>
  <c r="D32" i="39"/>
  <c r="D31" i="39"/>
  <c r="D30" i="39"/>
  <c r="E30" i="39" s="1"/>
  <c r="Q24" i="39"/>
  <c r="P24" i="39"/>
  <c r="D33" i="39" s="1"/>
  <c r="O24" i="39"/>
  <c r="N24" i="39"/>
  <c r="M24" i="39"/>
  <c r="L24" i="39"/>
  <c r="K24" i="39"/>
  <c r="J24" i="39"/>
  <c r="I24" i="39"/>
  <c r="H24" i="39"/>
  <c r="G24" i="39"/>
  <c r="F24" i="39"/>
  <c r="E24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E20" i="39" s="1"/>
  <c r="E13" i="39"/>
  <c r="E14" i="39" s="1"/>
  <c r="E12" i="39"/>
  <c r="F12" i="39" s="1"/>
  <c r="G12" i="39" s="1"/>
  <c r="H12" i="39" s="1"/>
  <c r="I12" i="39" s="1"/>
  <c r="J12" i="39" s="1"/>
  <c r="K12" i="39" s="1"/>
  <c r="L12" i="39" s="1"/>
  <c r="M12" i="39" s="1"/>
  <c r="N12" i="39" s="1"/>
  <c r="O12" i="39" s="1"/>
  <c r="P12" i="39" s="1"/>
  <c r="Q11" i="39"/>
  <c r="E5" i="39"/>
  <c r="E6" i="39" s="1"/>
  <c r="E4" i="39"/>
  <c r="Q71" i="39" l="1"/>
  <c r="Q44" i="39"/>
  <c r="Q52" i="39"/>
  <c r="Q56" i="39"/>
  <c r="E85" i="39"/>
  <c r="F85" i="39"/>
  <c r="Q58" i="39"/>
  <c r="H85" i="39"/>
  <c r="D5" i="38"/>
  <c r="Q4" i="38"/>
  <c r="Q5" i="38" s="1"/>
  <c r="E8" i="38"/>
  <c r="F8" i="38" s="1"/>
  <c r="G8" i="38" s="1"/>
  <c r="H8" i="38" s="1"/>
  <c r="P4" i="38"/>
  <c r="P5" i="38" s="1"/>
  <c r="D9" i="38"/>
  <c r="E9" i="38" s="1"/>
  <c r="F5" i="38"/>
  <c r="J57" i="39"/>
  <c r="E15" i="39"/>
  <c r="K61" i="39"/>
  <c r="F20" i="39"/>
  <c r="G20" i="39" s="1"/>
  <c r="H20" i="39" s="1"/>
  <c r="I20" i="39" s="1"/>
  <c r="J20" i="39" s="1"/>
  <c r="K20" i="39" s="1"/>
  <c r="L20" i="39" s="1"/>
  <c r="M20" i="39" s="1"/>
  <c r="N20" i="39" s="1"/>
  <c r="O20" i="39" s="1"/>
  <c r="P20" i="39" s="1"/>
  <c r="H61" i="39"/>
  <c r="E7" i="39"/>
  <c r="E8" i="39" s="1"/>
  <c r="L57" i="39"/>
  <c r="Q57" i="39" s="1"/>
  <c r="Q59" i="39"/>
  <c r="E61" i="39"/>
  <c r="Q4" i="39"/>
  <c r="F4" i="39"/>
  <c r="G4" i="39" s="1"/>
  <c r="H4" i="39" s="1"/>
  <c r="I4" i="39" s="1"/>
  <c r="J4" i="39" s="1"/>
  <c r="K4" i="39" s="1"/>
  <c r="L4" i="39" s="1"/>
  <c r="M4" i="39" s="1"/>
  <c r="N4" i="39" s="1"/>
  <c r="O4" i="39" s="1"/>
  <c r="P4" i="39" s="1"/>
  <c r="F5" i="39"/>
  <c r="Q12" i="39"/>
  <c r="E31" i="39"/>
  <c r="E32" i="39" s="1"/>
  <c r="N61" i="39"/>
  <c r="F30" i="39"/>
  <c r="Q79" i="39"/>
  <c r="Q85" i="39" s="1"/>
  <c r="F13" i="39"/>
  <c r="Q19" i="39"/>
  <c r="F87" i="35"/>
  <c r="G87" i="35"/>
  <c r="H87" i="35"/>
  <c r="I87" i="35"/>
  <c r="J87" i="35"/>
  <c r="K87" i="35"/>
  <c r="L87" i="35"/>
  <c r="M87" i="35"/>
  <c r="N87" i="35"/>
  <c r="O87" i="35"/>
  <c r="P87" i="35"/>
  <c r="Q87" i="35"/>
  <c r="R87" i="35"/>
  <c r="E87" i="35"/>
  <c r="Q89" i="35"/>
  <c r="F90" i="35"/>
  <c r="G90" i="35"/>
  <c r="H90" i="35"/>
  <c r="I90" i="35"/>
  <c r="J90" i="35"/>
  <c r="K90" i="35"/>
  <c r="L90" i="35"/>
  <c r="M90" i="35"/>
  <c r="N90" i="35"/>
  <c r="O90" i="35"/>
  <c r="P90" i="35"/>
  <c r="Q90" i="35"/>
  <c r="E90" i="35"/>
  <c r="D10" i="38" l="1"/>
  <c r="Q8" i="38"/>
  <c r="E10" i="38"/>
  <c r="F9" i="38"/>
  <c r="I8" i="38"/>
  <c r="R8" i="38" s="1"/>
  <c r="E60" i="39"/>
  <c r="Q20" i="39"/>
  <c r="F14" i="39"/>
  <c r="G13" i="39"/>
  <c r="E16" i="39"/>
  <c r="F6" i="39"/>
  <c r="G5" i="39"/>
  <c r="F31" i="39"/>
  <c r="F32" i="39" s="1"/>
  <c r="G30" i="39"/>
  <c r="E32" i="35"/>
  <c r="F10" i="38" l="1"/>
  <c r="G9" i="38"/>
  <c r="Q9" i="38"/>
  <c r="Q10" i="38" s="1"/>
  <c r="I10" i="38"/>
  <c r="J8" i="38"/>
  <c r="G31" i="39"/>
  <c r="G32" i="39" s="1"/>
  <c r="H30" i="39"/>
  <c r="F15" i="39"/>
  <c r="F16" i="39" s="1"/>
  <c r="F7" i="39"/>
  <c r="F8" i="39" s="1"/>
  <c r="G14" i="39"/>
  <c r="H13" i="39"/>
  <c r="G6" i="39"/>
  <c r="H5" i="39"/>
  <c r="E33" i="39"/>
  <c r="E86" i="39" s="1"/>
  <c r="H9" i="38" l="1"/>
  <c r="H10" i="38" s="1"/>
  <c r="R9" i="38"/>
  <c r="R10" i="38" s="1"/>
  <c r="G10" i="38"/>
  <c r="K8" i="38"/>
  <c r="J10" i="38"/>
  <c r="F60" i="39"/>
  <c r="G15" i="39"/>
  <c r="H14" i="39"/>
  <c r="I13" i="39"/>
  <c r="F33" i="39"/>
  <c r="F86" i="39" s="1"/>
  <c r="H31" i="39"/>
  <c r="H32" i="39" s="1"/>
  <c r="I30" i="39"/>
  <c r="H6" i="39"/>
  <c r="I5" i="39"/>
  <c r="G7" i="39"/>
  <c r="P9" i="38" l="1"/>
  <c r="L8" i="38"/>
  <c r="S8" i="38" s="1"/>
  <c r="K10" i="38"/>
  <c r="I14" i="39"/>
  <c r="J13" i="39"/>
  <c r="G8" i="39"/>
  <c r="H15" i="39"/>
  <c r="H16" i="39" s="1"/>
  <c r="I31" i="39"/>
  <c r="I32" i="39" s="1"/>
  <c r="J30" i="39"/>
  <c r="G16" i="39"/>
  <c r="H7" i="39"/>
  <c r="H8" i="39" s="1"/>
  <c r="H60" i="39" s="1"/>
  <c r="I6" i="39"/>
  <c r="J5" i="39"/>
  <c r="G33" i="39"/>
  <c r="G86" i="39" s="1"/>
  <c r="H33" i="39"/>
  <c r="H86" i="39" s="1"/>
  <c r="L10" i="38" l="1"/>
  <c r="M8" i="38"/>
  <c r="J31" i="39"/>
  <c r="J32" i="39" s="1"/>
  <c r="K30" i="39"/>
  <c r="G60" i="39"/>
  <c r="J14" i="39"/>
  <c r="K13" i="39"/>
  <c r="I15" i="39"/>
  <c r="I16" i="39" s="1"/>
  <c r="I7" i="39"/>
  <c r="I8" i="39" s="1"/>
  <c r="I60" i="39" s="1"/>
  <c r="I33" i="39"/>
  <c r="I86" i="39" s="1"/>
  <c r="J6" i="39"/>
  <c r="K5" i="39"/>
  <c r="N8" i="38" l="1"/>
  <c r="M10" i="38"/>
  <c r="J7" i="39"/>
  <c r="J8" i="39" s="1"/>
  <c r="J15" i="39"/>
  <c r="J16" i="39" s="1"/>
  <c r="L5" i="39"/>
  <c r="K6" i="39"/>
  <c r="K31" i="39"/>
  <c r="K32" i="39" s="1"/>
  <c r="L30" i="39"/>
  <c r="J33" i="39"/>
  <c r="J86" i="39" s="1"/>
  <c r="K14" i="39"/>
  <c r="L13" i="39"/>
  <c r="N10" i="38" l="1"/>
  <c r="O8" i="38"/>
  <c r="J60" i="39"/>
  <c r="L14" i="39"/>
  <c r="M13" i="39"/>
  <c r="K15" i="39"/>
  <c r="K16" i="39" s="1"/>
  <c r="K33" i="39"/>
  <c r="K86" i="39" s="1"/>
  <c r="M5" i="39"/>
  <c r="L6" i="39"/>
  <c r="K7" i="39"/>
  <c r="K8" i="39" s="1"/>
  <c r="K60" i="39" s="1"/>
  <c r="L31" i="39"/>
  <c r="L32" i="39" s="1"/>
  <c r="M30" i="39"/>
  <c r="P8" i="38" l="1"/>
  <c r="P10" i="38" s="1"/>
  <c r="O10" i="38"/>
  <c r="T8" i="38"/>
  <c r="L7" i="39"/>
  <c r="L8" i="39" s="1"/>
  <c r="L60" i="39" s="1"/>
  <c r="N13" i="39"/>
  <c r="M14" i="39"/>
  <c r="L15" i="39"/>
  <c r="L16" i="39" s="1"/>
  <c r="N5" i="39"/>
  <c r="M6" i="39"/>
  <c r="N30" i="39"/>
  <c r="M31" i="39"/>
  <c r="M32" i="39" s="1"/>
  <c r="L33" i="39"/>
  <c r="L86" i="39" s="1"/>
  <c r="O13" i="39" l="1"/>
  <c r="N14" i="39"/>
  <c r="M33" i="39"/>
  <c r="M86" i="39" s="1"/>
  <c r="N6" i="39"/>
  <c r="O5" i="39"/>
  <c r="M15" i="39"/>
  <c r="M16" i="39" s="1"/>
  <c r="N31" i="39"/>
  <c r="N32" i="39" s="1"/>
  <c r="O30" i="39"/>
  <c r="M7" i="39"/>
  <c r="M8" i="39" s="1"/>
  <c r="M60" i="39" s="1"/>
  <c r="O31" i="39" l="1"/>
  <c r="O32" i="39" s="1"/>
  <c r="P30" i="39"/>
  <c r="N33" i="39"/>
  <c r="N86" i="39" s="1"/>
  <c r="O6" i="39"/>
  <c r="P5" i="39"/>
  <c r="N7" i="39"/>
  <c r="N8" i="39" s="1"/>
  <c r="N60" i="39" s="1"/>
  <c r="N15" i="39"/>
  <c r="N16" i="39"/>
  <c r="O14" i="39"/>
  <c r="P13" i="39"/>
  <c r="P6" i="39" l="1"/>
  <c r="Q5" i="39"/>
  <c r="O7" i="39"/>
  <c r="O8" i="39" s="1"/>
  <c r="O60" i="39" s="1"/>
  <c r="P31" i="39"/>
  <c r="P32" i="39" s="1"/>
  <c r="Q30" i="39"/>
  <c r="O33" i="39"/>
  <c r="O86" i="39" s="1"/>
  <c r="P14" i="39"/>
  <c r="Q13" i="39"/>
  <c r="O15" i="39"/>
  <c r="O16" i="39" s="1"/>
  <c r="P15" i="39" l="1"/>
  <c r="Q15" i="39" s="1"/>
  <c r="Q32" i="39"/>
  <c r="Q31" i="39"/>
  <c r="P7" i="39"/>
  <c r="Q7" i="39" s="1"/>
  <c r="P38" i="34"/>
  <c r="P8" i="39" l="1"/>
  <c r="P33" i="39"/>
  <c r="P86" i="39" s="1"/>
  <c r="P16" i="39"/>
  <c r="Q16" i="39" s="1"/>
  <c r="N39" i="34"/>
  <c r="I39" i="34"/>
  <c r="E39" i="34"/>
  <c r="Q33" i="39" l="1"/>
  <c r="Q86" i="39" s="1"/>
  <c r="P60" i="39"/>
  <c r="Q8" i="39"/>
  <c r="Q60" i="39" s="1"/>
  <c r="P33" i="34"/>
  <c r="P40" i="34" s="1"/>
  <c r="P37" i="34"/>
  <c r="E15" i="12" l="1"/>
  <c r="P189" i="12" l="1"/>
  <c r="O40" i="34" l="1"/>
  <c r="N38" i="34"/>
  <c r="O37" i="34"/>
  <c r="O33" i="34"/>
  <c r="O38" i="34" s="1"/>
  <c r="Q32" i="34" l="1"/>
  <c r="N40" i="34"/>
  <c r="N37" i="34"/>
  <c r="N33" i="34"/>
  <c r="N25" i="34"/>
  <c r="D97" i="36" l="1"/>
  <c r="D92" i="36"/>
  <c r="O91" i="36"/>
  <c r="O92" i="36" s="1"/>
  <c r="N91" i="36"/>
  <c r="N92" i="36" s="1"/>
  <c r="D91" i="36"/>
  <c r="P90" i="36"/>
  <c r="D98" i="36" s="1"/>
  <c r="O90" i="36"/>
  <c r="N90" i="36"/>
  <c r="M90" i="36"/>
  <c r="M91" i="36" s="1"/>
  <c r="M92" i="36" s="1"/>
  <c r="L90" i="36"/>
  <c r="L91" i="36" s="1"/>
  <c r="L92" i="36" s="1"/>
  <c r="K90" i="36"/>
  <c r="J90" i="36"/>
  <c r="I90" i="36"/>
  <c r="H90" i="36"/>
  <c r="G90" i="36"/>
  <c r="F90" i="36"/>
  <c r="E90" i="36"/>
  <c r="D90" i="36"/>
  <c r="D89" i="36"/>
  <c r="Q88" i="36"/>
  <c r="Q96" i="36" s="1"/>
  <c r="G83" i="36"/>
  <c r="N82" i="36"/>
  <c r="M82" i="36"/>
  <c r="L82" i="36"/>
  <c r="K82" i="36"/>
  <c r="J82" i="36"/>
  <c r="I82" i="36"/>
  <c r="H82" i="36"/>
  <c r="G82" i="36"/>
  <c r="F82" i="36"/>
  <c r="E82" i="36"/>
  <c r="Q82" i="36" s="1"/>
  <c r="Q81" i="36"/>
  <c r="Q80" i="36"/>
  <c r="Q79" i="36"/>
  <c r="N78" i="36"/>
  <c r="N83" i="36" s="1"/>
  <c r="M78" i="36"/>
  <c r="M83" i="36" s="1"/>
  <c r="L78" i="36"/>
  <c r="L83" i="36" s="1"/>
  <c r="K78" i="36"/>
  <c r="K83" i="36" s="1"/>
  <c r="J78" i="36"/>
  <c r="J83" i="36" s="1"/>
  <c r="I78" i="36"/>
  <c r="I83" i="36" s="1"/>
  <c r="H78" i="36"/>
  <c r="H83" i="36" s="1"/>
  <c r="G78" i="36"/>
  <c r="F78" i="36"/>
  <c r="F83" i="36" s="1"/>
  <c r="E78" i="36"/>
  <c r="E83" i="36" s="1"/>
  <c r="Q77" i="36"/>
  <c r="Q76" i="36"/>
  <c r="Q75" i="36"/>
  <c r="Q74" i="36"/>
  <c r="Q73" i="36"/>
  <c r="Q72" i="36"/>
  <c r="N71" i="36"/>
  <c r="M71" i="36"/>
  <c r="Q71" i="36" s="1"/>
  <c r="L71" i="36"/>
  <c r="K71" i="36"/>
  <c r="J71" i="36"/>
  <c r="I71" i="36"/>
  <c r="H71" i="36"/>
  <c r="G71" i="36"/>
  <c r="F71" i="36"/>
  <c r="E71" i="36"/>
  <c r="Q70" i="36"/>
  <c r="Q69" i="36"/>
  <c r="Q68" i="36"/>
  <c r="Q67" i="36"/>
  <c r="Q66" i="36"/>
  <c r="P60" i="36"/>
  <c r="O60" i="36"/>
  <c r="N60" i="36"/>
  <c r="N62" i="36" s="1"/>
  <c r="M60" i="36"/>
  <c r="L60" i="36"/>
  <c r="L58" i="36" s="1"/>
  <c r="H60" i="36"/>
  <c r="M59" i="36"/>
  <c r="L59" i="36"/>
  <c r="K59" i="36"/>
  <c r="K60" i="36" s="1"/>
  <c r="J59" i="36"/>
  <c r="I59" i="36"/>
  <c r="Q59" i="36" s="1"/>
  <c r="E59" i="36"/>
  <c r="K58" i="36"/>
  <c r="G58" i="36"/>
  <c r="G60" i="36" s="1"/>
  <c r="F58" i="36"/>
  <c r="F60" i="36" s="1"/>
  <c r="E58" i="36"/>
  <c r="Q57" i="36"/>
  <c r="M57" i="36"/>
  <c r="L57" i="36"/>
  <c r="K57" i="36"/>
  <c r="J57" i="36"/>
  <c r="I57" i="36"/>
  <c r="H57" i="36"/>
  <c r="G57" i="36"/>
  <c r="F57" i="36"/>
  <c r="E57" i="36"/>
  <c r="Q56" i="36"/>
  <c r="Q55" i="36"/>
  <c r="Q54" i="36"/>
  <c r="M53" i="36"/>
  <c r="L53" i="36"/>
  <c r="K53" i="36"/>
  <c r="J53" i="36"/>
  <c r="J60" i="36" s="1"/>
  <c r="I53" i="36"/>
  <c r="I60" i="36" s="1"/>
  <c r="H53" i="36"/>
  <c r="G53" i="36"/>
  <c r="F53" i="36"/>
  <c r="E53" i="36"/>
  <c r="Q53" i="36" s="1"/>
  <c r="Q52" i="36"/>
  <c r="Q50" i="36"/>
  <c r="Q49" i="36"/>
  <c r="Q48" i="36"/>
  <c r="Q47" i="36"/>
  <c r="Q46" i="36"/>
  <c r="M45" i="36"/>
  <c r="L45" i="36"/>
  <c r="K45" i="36"/>
  <c r="J45" i="36"/>
  <c r="I45" i="36"/>
  <c r="H45" i="36"/>
  <c r="G45" i="36"/>
  <c r="F45" i="36"/>
  <c r="E45" i="36"/>
  <c r="Q45" i="36" s="1"/>
  <c r="Q44" i="36"/>
  <c r="Q43" i="36"/>
  <c r="Q42" i="36"/>
  <c r="Q41" i="36"/>
  <c r="Q40" i="36"/>
  <c r="Q39" i="36"/>
  <c r="D33" i="36"/>
  <c r="D32" i="36"/>
  <c r="D31" i="36"/>
  <c r="D30" i="36"/>
  <c r="E29" i="36"/>
  <c r="E30" i="36" s="1"/>
  <c r="Q28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E14" i="36"/>
  <c r="F13" i="36"/>
  <c r="G13" i="36" s="1"/>
  <c r="E13" i="36"/>
  <c r="G12" i="36"/>
  <c r="H12" i="36" s="1"/>
  <c r="I12" i="36" s="1"/>
  <c r="J12" i="36" s="1"/>
  <c r="K12" i="36" s="1"/>
  <c r="L12" i="36" s="1"/>
  <c r="M12" i="36" s="1"/>
  <c r="N12" i="36" s="1"/>
  <c r="O12" i="36" s="1"/>
  <c r="P12" i="36" s="1"/>
  <c r="F12" i="36"/>
  <c r="E12" i="36"/>
  <c r="Q11" i="36"/>
  <c r="E5" i="36"/>
  <c r="E6" i="36" s="1"/>
  <c r="F4" i="36"/>
  <c r="G4" i="36" s="1"/>
  <c r="H4" i="36" s="1"/>
  <c r="I4" i="36" s="1"/>
  <c r="J4" i="36" s="1"/>
  <c r="K4" i="36" s="1"/>
  <c r="L4" i="36" s="1"/>
  <c r="M4" i="36" s="1"/>
  <c r="N4" i="36" s="1"/>
  <c r="O4" i="36" s="1"/>
  <c r="P4" i="36" s="1"/>
  <c r="E4" i="36"/>
  <c r="E79" i="35"/>
  <c r="F79" i="35" s="1"/>
  <c r="G79" i="35" s="1"/>
  <c r="H79" i="35" s="1"/>
  <c r="I79" i="35" s="1"/>
  <c r="J79" i="35" s="1"/>
  <c r="K79" i="35" s="1"/>
  <c r="L79" i="35" s="1"/>
  <c r="M79" i="35" s="1"/>
  <c r="N79" i="35" s="1"/>
  <c r="O79" i="35" s="1"/>
  <c r="P79" i="35" s="1"/>
  <c r="Q76" i="35"/>
  <c r="P60" i="35"/>
  <c r="O60" i="35"/>
  <c r="N60" i="35"/>
  <c r="M60" i="35"/>
  <c r="M58" i="35" s="1"/>
  <c r="H60" i="35"/>
  <c r="E60" i="35"/>
  <c r="M59" i="35"/>
  <c r="L59" i="35"/>
  <c r="K59" i="35"/>
  <c r="Q59" i="35" s="1"/>
  <c r="J59" i="35"/>
  <c r="I59" i="35"/>
  <c r="E59" i="35"/>
  <c r="K58" i="35"/>
  <c r="K60" i="35" s="1"/>
  <c r="G58" i="35"/>
  <c r="G60" i="35" s="1"/>
  <c r="F58" i="35"/>
  <c r="F60" i="35" s="1"/>
  <c r="E58" i="35"/>
  <c r="M57" i="35"/>
  <c r="L57" i="35"/>
  <c r="K57" i="35"/>
  <c r="J57" i="35"/>
  <c r="I57" i="35"/>
  <c r="H57" i="35"/>
  <c r="G57" i="35"/>
  <c r="F57" i="35"/>
  <c r="E57" i="35"/>
  <c r="Q57" i="35" s="1"/>
  <c r="Q56" i="35"/>
  <c r="Q55" i="35"/>
  <c r="Q54" i="35"/>
  <c r="M53" i="35"/>
  <c r="L53" i="35"/>
  <c r="L60" i="35" s="1"/>
  <c r="K53" i="35"/>
  <c r="J53" i="35"/>
  <c r="J60" i="35" s="1"/>
  <c r="I53" i="35"/>
  <c r="I60" i="35" s="1"/>
  <c r="H53" i="35"/>
  <c r="G53" i="35"/>
  <c r="F53" i="35"/>
  <c r="E53" i="35"/>
  <c r="Q53" i="35" s="1"/>
  <c r="Q52" i="35"/>
  <c r="Q50" i="35"/>
  <c r="Q49" i="35"/>
  <c r="Q48" i="35"/>
  <c r="Q47" i="35"/>
  <c r="Q46" i="35"/>
  <c r="M45" i="35"/>
  <c r="L45" i="35"/>
  <c r="K45" i="35"/>
  <c r="J45" i="35"/>
  <c r="I45" i="35"/>
  <c r="H45" i="35"/>
  <c r="G45" i="35"/>
  <c r="F45" i="35"/>
  <c r="E45" i="35"/>
  <c r="Q45" i="35" s="1"/>
  <c r="Q44" i="35"/>
  <c r="Q43" i="35"/>
  <c r="Q42" i="35"/>
  <c r="Q41" i="35"/>
  <c r="Q40" i="35"/>
  <c r="Q39" i="35"/>
  <c r="D33" i="35"/>
  <c r="D32" i="35"/>
  <c r="D31" i="35"/>
  <c r="D30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E20" i="35" s="1"/>
  <c r="E13" i="35"/>
  <c r="E14" i="35" s="1"/>
  <c r="E12" i="35"/>
  <c r="F12" i="35" s="1"/>
  <c r="G12" i="35" s="1"/>
  <c r="H12" i="35" s="1"/>
  <c r="I12" i="35" s="1"/>
  <c r="J12" i="35" s="1"/>
  <c r="K12" i="35" s="1"/>
  <c r="L12" i="35" s="1"/>
  <c r="M12" i="35" s="1"/>
  <c r="N12" i="35" s="1"/>
  <c r="O12" i="35" s="1"/>
  <c r="P12" i="35" s="1"/>
  <c r="Q11" i="35"/>
  <c r="E5" i="35"/>
  <c r="E6" i="35" s="1"/>
  <c r="E4" i="35"/>
  <c r="F4" i="35" s="1"/>
  <c r="E30" i="35" l="1"/>
  <c r="F30" i="35" s="1"/>
  <c r="Q19" i="36"/>
  <c r="Q4" i="36"/>
  <c r="E31" i="36"/>
  <c r="F30" i="36"/>
  <c r="E96" i="36"/>
  <c r="F96" i="36" s="1"/>
  <c r="G96" i="36" s="1"/>
  <c r="H96" i="36" s="1"/>
  <c r="I96" i="36" s="1"/>
  <c r="J96" i="36" s="1"/>
  <c r="K96" i="36" s="1"/>
  <c r="L96" i="36" s="1"/>
  <c r="M96" i="36" s="1"/>
  <c r="N96" i="36" s="1"/>
  <c r="O96" i="36" s="1"/>
  <c r="P96" i="36" s="1"/>
  <c r="Q104" i="36"/>
  <c r="E104" i="36" s="1"/>
  <c r="F104" i="36" s="1"/>
  <c r="G104" i="36" s="1"/>
  <c r="H104" i="36" s="1"/>
  <c r="I104" i="36" s="1"/>
  <c r="J104" i="36" s="1"/>
  <c r="K104" i="36" s="1"/>
  <c r="L104" i="36" s="1"/>
  <c r="M104" i="36" s="1"/>
  <c r="N104" i="36" s="1"/>
  <c r="O104" i="36" s="1"/>
  <c r="P104" i="36" s="1"/>
  <c r="E8" i="36"/>
  <c r="E7" i="36"/>
  <c r="Q12" i="36"/>
  <c r="K92" i="36"/>
  <c r="F92" i="36"/>
  <c r="I58" i="36"/>
  <c r="J58" i="36"/>
  <c r="Q58" i="36" s="1"/>
  <c r="K62" i="36"/>
  <c r="G14" i="36"/>
  <c r="H13" i="36"/>
  <c r="I92" i="36"/>
  <c r="E20" i="36"/>
  <c r="E91" i="36"/>
  <c r="E15" i="36"/>
  <c r="F91" i="36"/>
  <c r="Q90" i="36"/>
  <c r="P91" i="36"/>
  <c r="D99" i="36" s="1"/>
  <c r="E60" i="36"/>
  <c r="G91" i="36"/>
  <c r="G92" i="36" s="1"/>
  <c r="F14" i="36"/>
  <c r="Q29" i="36"/>
  <c r="H91" i="36"/>
  <c r="H92" i="36" s="1"/>
  <c r="F5" i="36"/>
  <c r="F29" i="36"/>
  <c r="G29" i="36" s="1"/>
  <c r="H29" i="36" s="1"/>
  <c r="I29" i="36" s="1"/>
  <c r="J29" i="36" s="1"/>
  <c r="K29" i="36" s="1"/>
  <c r="L29" i="36" s="1"/>
  <c r="M29" i="36" s="1"/>
  <c r="N29" i="36" s="1"/>
  <c r="O29" i="36" s="1"/>
  <c r="P29" i="36" s="1"/>
  <c r="Q78" i="36"/>
  <c r="Q83" i="36" s="1"/>
  <c r="I91" i="36"/>
  <c r="M58" i="36"/>
  <c r="H62" i="36"/>
  <c r="J91" i="36"/>
  <c r="J92" i="36" s="1"/>
  <c r="K91" i="36"/>
  <c r="G4" i="35"/>
  <c r="H4" i="35" s="1"/>
  <c r="I4" i="35" s="1"/>
  <c r="J4" i="35" s="1"/>
  <c r="K4" i="35" s="1"/>
  <c r="L4" i="35" s="1"/>
  <c r="M4" i="35" s="1"/>
  <c r="N4" i="35" s="1"/>
  <c r="O4" i="35" s="1"/>
  <c r="P4" i="35" s="1"/>
  <c r="J58" i="35"/>
  <c r="E7" i="35"/>
  <c r="E8" i="35" s="1"/>
  <c r="I58" i="35"/>
  <c r="Q58" i="35" s="1"/>
  <c r="E15" i="35"/>
  <c r="L58" i="35"/>
  <c r="F20" i="35"/>
  <c r="G20" i="35" s="1"/>
  <c r="H20" i="35" s="1"/>
  <c r="I20" i="35" s="1"/>
  <c r="J20" i="35" s="1"/>
  <c r="K20" i="35" s="1"/>
  <c r="L20" i="35" s="1"/>
  <c r="M20" i="35" s="1"/>
  <c r="N20" i="35" s="1"/>
  <c r="O20" i="35" s="1"/>
  <c r="P20" i="35" s="1"/>
  <c r="K62" i="35"/>
  <c r="F5" i="35"/>
  <c r="E62" i="35"/>
  <c r="H62" i="35"/>
  <c r="Q12" i="35"/>
  <c r="N62" i="35"/>
  <c r="Q60" i="35"/>
  <c r="F13" i="35"/>
  <c r="Q19" i="35"/>
  <c r="Q79" i="35"/>
  <c r="E31" i="35" l="1"/>
  <c r="Q20" i="35"/>
  <c r="Q91" i="36"/>
  <c r="F20" i="36"/>
  <c r="G20" i="36" s="1"/>
  <c r="H20" i="36" s="1"/>
  <c r="I20" i="36" s="1"/>
  <c r="J20" i="36" s="1"/>
  <c r="K20" i="36" s="1"/>
  <c r="L20" i="36" s="1"/>
  <c r="M20" i="36" s="1"/>
  <c r="N20" i="36" s="1"/>
  <c r="O20" i="36" s="1"/>
  <c r="P20" i="36" s="1"/>
  <c r="F15" i="36"/>
  <c r="E97" i="36"/>
  <c r="E92" i="36"/>
  <c r="Q92" i="36" s="1"/>
  <c r="E62" i="36"/>
  <c r="E61" i="36"/>
  <c r="Q60" i="36"/>
  <c r="H14" i="36"/>
  <c r="I13" i="36"/>
  <c r="F6" i="36"/>
  <c r="G5" i="36"/>
  <c r="G15" i="36"/>
  <c r="G16" i="36"/>
  <c r="G84" i="36" s="1"/>
  <c r="F31" i="36"/>
  <c r="G30" i="36"/>
  <c r="E32" i="36"/>
  <c r="E33" i="36"/>
  <c r="P92" i="36"/>
  <c r="D100" i="36" s="1"/>
  <c r="E16" i="36"/>
  <c r="E61" i="35"/>
  <c r="F6" i="35"/>
  <c r="G5" i="35"/>
  <c r="F31" i="35"/>
  <c r="G30" i="35"/>
  <c r="Q4" i="35"/>
  <c r="F14" i="35"/>
  <c r="G13" i="35"/>
  <c r="E16" i="35"/>
  <c r="Q20" i="36" l="1"/>
  <c r="H30" i="36"/>
  <c r="G31" i="36"/>
  <c r="E98" i="36"/>
  <c r="F97" i="36"/>
  <c r="F32" i="36"/>
  <c r="F33" i="36"/>
  <c r="F16" i="36"/>
  <c r="F84" i="36" s="1"/>
  <c r="E34" i="36"/>
  <c r="E84" i="36"/>
  <c r="G6" i="36"/>
  <c r="H5" i="36"/>
  <c r="F7" i="36"/>
  <c r="I14" i="36"/>
  <c r="J13" i="36"/>
  <c r="H16" i="36"/>
  <c r="H84" i="36" s="1"/>
  <c r="H15" i="36"/>
  <c r="F7" i="35"/>
  <c r="G6" i="35"/>
  <c r="H5" i="35"/>
  <c r="E33" i="35"/>
  <c r="F32" i="35"/>
  <c r="G14" i="35"/>
  <c r="H13" i="35"/>
  <c r="G31" i="35"/>
  <c r="H30" i="35"/>
  <c r="F15" i="35"/>
  <c r="I15" i="36" l="1"/>
  <c r="I16" i="36" s="1"/>
  <c r="H6" i="36"/>
  <c r="I5" i="36"/>
  <c r="E99" i="36"/>
  <c r="E100" i="36"/>
  <c r="J14" i="36"/>
  <c r="K13" i="36"/>
  <c r="F8" i="36"/>
  <c r="G8" i="36"/>
  <c r="G61" i="36" s="1"/>
  <c r="G7" i="36"/>
  <c r="G32" i="36"/>
  <c r="G33" i="36"/>
  <c r="F98" i="36"/>
  <c r="G97" i="36"/>
  <c r="H31" i="36"/>
  <c r="I30" i="36"/>
  <c r="G7" i="35"/>
  <c r="G8" i="35" s="1"/>
  <c r="G61" i="35" s="1"/>
  <c r="G16" i="35"/>
  <c r="G15" i="35"/>
  <c r="F33" i="35"/>
  <c r="F16" i="35"/>
  <c r="H6" i="35"/>
  <c r="I5" i="35"/>
  <c r="H31" i="35"/>
  <c r="I30" i="35"/>
  <c r="G32" i="35"/>
  <c r="G33" i="35" s="1"/>
  <c r="F8" i="35"/>
  <c r="H14" i="35"/>
  <c r="I13" i="35"/>
  <c r="I84" i="36" l="1"/>
  <c r="J15" i="36"/>
  <c r="J16" i="36" s="1"/>
  <c r="H97" i="36"/>
  <c r="G98" i="36"/>
  <c r="I6" i="36"/>
  <c r="J5" i="36"/>
  <c r="K14" i="36"/>
  <c r="L13" i="36"/>
  <c r="F99" i="36"/>
  <c r="F100" i="36"/>
  <c r="H7" i="36"/>
  <c r="H8" i="36" s="1"/>
  <c r="H33" i="36"/>
  <c r="G34" i="36" s="1"/>
  <c r="H32" i="36"/>
  <c r="F34" i="36"/>
  <c r="J30" i="36"/>
  <c r="I31" i="36"/>
  <c r="F61" i="36"/>
  <c r="H32" i="35"/>
  <c r="H33" i="35" s="1"/>
  <c r="F34" i="35"/>
  <c r="E34" i="35"/>
  <c r="H7" i="35"/>
  <c r="H8" i="35" s="1"/>
  <c r="H15" i="35"/>
  <c r="H16" i="35" s="1"/>
  <c r="F61" i="35"/>
  <c r="I31" i="35"/>
  <c r="J30" i="35"/>
  <c r="I6" i="35"/>
  <c r="J5" i="35"/>
  <c r="I14" i="35"/>
  <c r="J13" i="35"/>
  <c r="H61" i="36" l="1"/>
  <c r="J84" i="36"/>
  <c r="L14" i="36"/>
  <c r="M13" i="36"/>
  <c r="I33" i="36"/>
  <c r="I32" i="36"/>
  <c r="K15" i="36"/>
  <c r="K16" i="36" s="1"/>
  <c r="H34" i="36"/>
  <c r="G99" i="36"/>
  <c r="G100" i="36"/>
  <c r="K30" i="36"/>
  <c r="J31" i="36"/>
  <c r="K5" i="36"/>
  <c r="J6" i="36"/>
  <c r="I97" i="36"/>
  <c r="H98" i="36"/>
  <c r="I7" i="36"/>
  <c r="I8" i="36" s="1"/>
  <c r="H61" i="35"/>
  <c r="G34" i="35"/>
  <c r="I15" i="35"/>
  <c r="I16" i="35"/>
  <c r="K30" i="35"/>
  <c r="J31" i="35"/>
  <c r="K13" i="35"/>
  <c r="J14" i="35"/>
  <c r="J6" i="35"/>
  <c r="K5" i="35"/>
  <c r="I7" i="35"/>
  <c r="I8" i="35" s="1"/>
  <c r="I32" i="35"/>
  <c r="I33" i="35" s="1"/>
  <c r="H34" i="35" s="1"/>
  <c r="I61" i="36" l="1"/>
  <c r="K84" i="36"/>
  <c r="H99" i="36"/>
  <c r="I98" i="36"/>
  <c r="J97" i="36"/>
  <c r="M14" i="36"/>
  <c r="N13" i="36"/>
  <c r="J7" i="36"/>
  <c r="J8" i="36"/>
  <c r="J61" i="36" s="1"/>
  <c r="L15" i="36"/>
  <c r="L16" i="36" s="1"/>
  <c r="L84" i="36" s="1"/>
  <c r="K6" i="36"/>
  <c r="L5" i="36"/>
  <c r="J32" i="36"/>
  <c r="J33" i="36" s="1"/>
  <c r="K31" i="36"/>
  <c r="L30" i="36"/>
  <c r="I61" i="35"/>
  <c r="J32" i="35"/>
  <c r="J33" i="35" s="1"/>
  <c r="K31" i="35"/>
  <c r="L30" i="35"/>
  <c r="K6" i="35"/>
  <c r="L5" i="35"/>
  <c r="J7" i="35"/>
  <c r="J8" i="35" s="1"/>
  <c r="J15" i="35"/>
  <c r="J16" i="35" s="1"/>
  <c r="K14" i="35"/>
  <c r="L13" i="35"/>
  <c r="I34" i="36" l="1"/>
  <c r="M15" i="36"/>
  <c r="M16" i="36" s="1"/>
  <c r="M84" i="36" s="1"/>
  <c r="K97" i="36"/>
  <c r="J98" i="36"/>
  <c r="L6" i="36"/>
  <c r="M5" i="36"/>
  <c r="I99" i="36"/>
  <c r="I100" i="36" s="1"/>
  <c r="K7" i="36"/>
  <c r="K8" i="36"/>
  <c r="K61" i="36" s="1"/>
  <c r="K32" i="36"/>
  <c r="K33" i="36" s="1"/>
  <c r="H100" i="36"/>
  <c r="L31" i="36"/>
  <c r="M30" i="36"/>
  <c r="N14" i="36"/>
  <c r="O13" i="36"/>
  <c r="J61" i="35"/>
  <c r="I34" i="35"/>
  <c r="L14" i="35"/>
  <c r="M13" i="35"/>
  <c r="M30" i="35"/>
  <c r="L31" i="35"/>
  <c r="M5" i="35"/>
  <c r="L6" i="35"/>
  <c r="K8" i="35"/>
  <c r="K61" i="35" s="1"/>
  <c r="K7" i="35"/>
  <c r="K32" i="35"/>
  <c r="K33" i="35" s="1"/>
  <c r="K15" i="35"/>
  <c r="K16" i="35"/>
  <c r="J34" i="36" l="1"/>
  <c r="M6" i="36"/>
  <c r="N5" i="36"/>
  <c r="N15" i="36"/>
  <c r="N16" i="36" s="1"/>
  <c r="N84" i="36" s="1"/>
  <c r="L7" i="36"/>
  <c r="L8" i="36" s="1"/>
  <c r="L61" i="36" s="1"/>
  <c r="O14" i="36"/>
  <c r="P13" i="36"/>
  <c r="M31" i="36"/>
  <c r="N30" i="36"/>
  <c r="J99" i="36"/>
  <c r="J100" i="36" s="1"/>
  <c r="L32" i="36"/>
  <c r="L33" i="36" s="1"/>
  <c r="K98" i="36"/>
  <c r="L97" i="36"/>
  <c r="J34" i="35"/>
  <c r="L7" i="35"/>
  <c r="L8" i="35"/>
  <c r="L61" i="35" s="1"/>
  <c r="M6" i="35"/>
  <c r="N5" i="35"/>
  <c r="L32" i="35"/>
  <c r="L33" i="35" s="1"/>
  <c r="M31" i="35"/>
  <c r="N30" i="35"/>
  <c r="M14" i="35"/>
  <c r="N13" i="35"/>
  <c r="L15" i="35"/>
  <c r="L16" i="35" s="1"/>
  <c r="K34" i="36" l="1"/>
  <c r="O15" i="36"/>
  <c r="O16" i="36" s="1"/>
  <c r="O84" i="36" s="1"/>
  <c r="M32" i="36"/>
  <c r="M33" i="36" s="1"/>
  <c r="L98" i="36"/>
  <c r="M97" i="36"/>
  <c r="K99" i="36"/>
  <c r="K100" i="36" s="1"/>
  <c r="P14" i="36"/>
  <c r="Q13" i="36"/>
  <c r="N6" i="36"/>
  <c r="O5" i="36"/>
  <c r="M7" i="36"/>
  <c r="M8" i="36" s="1"/>
  <c r="M61" i="36" s="1"/>
  <c r="N31" i="36"/>
  <c r="O30" i="36"/>
  <c r="K34" i="35"/>
  <c r="M15" i="35"/>
  <c r="M16" i="35" s="1"/>
  <c r="O30" i="35"/>
  <c r="N31" i="35"/>
  <c r="M32" i="35"/>
  <c r="M33" i="35" s="1"/>
  <c r="N6" i="35"/>
  <c r="O5" i="35"/>
  <c r="M7" i="35"/>
  <c r="M8" i="35" s="1"/>
  <c r="M61" i="35" s="1"/>
  <c r="N14" i="35"/>
  <c r="O13" i="35"/>
  <c r="L34" i="36" l="1"/>
  <c r="M98" i="36"/>
  <c r="N97" i="36"/>
  <c r="L99" i="36"/>
  <c r="L100" i="36" s="1"/>
  <c r="P15" i="36"/>
  <c r="Q15" i="36" s="1"/>
  <c r="P16" i="36"/>
  <c r="O31" i="36"/>
  <c r="P30" i="36"/>
  <c r="N33" i="36"/>
  <c r="N32" i="36"/>
  <c r="O6" i="36"/>
  <c r="P5" i="36"/>
  <c r="N7" i="36"/>
  <c r="N8" i="36" s="1"/>
  <c r="N61" i="36" s="1"/>
  <c r="L34" i="35"/>
  <c r="N7" i="35"/>
  <c r="N8" i="35"/>
  <c r="N61" i="35" s="1"/>
  <c r="P5" i="35"/>
  <c r="O6" i="35"/>
  <c r="N32" i="35"/>
  <c r="N33" i="35" s="1"/>
  <c r="O31" i="35"/>
  <c r="P30" i="35"/>
  <c r="O14" i="35"/>
  <c r="P13" i="35"/>
  <c r="N15" i="35"/>
  <c r="N16" i="35" s="1"/>
  <c r="P84" i="36" l="1"/>
  <c r="Q16" i="36"/>
  <c r="Q84" i="36" s="1"/>
  <c r="P31" i="36"/>
  <c r="Q30" i="36"/>
  <c r="N98" i="36"/>
  <c r="O97" i="36"/>
  <c r="P6" i="36"/>
  <c r="Q5" i="36"/>
  <c r="M99" i="36"/>
  <c r="M100" i="36" s="1"/>
  <c r="O32" i="36"/>
  <c r="O33" i="36" s="1"/>
  <c r="O7" i="36"/>
  <c r="O8" i="36" s="1"/>
  <c r="O61" i="36" s="1"/>
  <c r="M34" i="36"/>
  <c r="M34" i="35"/>
  <c r="P31" i="35"/>
  <c r="Q30" i="35"/>
  <c r="P14" i="35"/>
  <c r="Q13" i="35"/>
  <c r="O15" i="35"/>
  <c r="O16" i="35" s="1"/>
  <c r="O32" i="35"/>
  <c r="O33" i="35" s="1"/>
  <c r="O7" i="35"/>
  <c r="O8" i="35" s="1"/>
  <c r="O61" i="35" s="1"/>
  <c r="P6" i="35"/>
  <c r="Q5" i="35"/>
  <c r="N34" i="36" l="1"/>
  <c r="P7" i="36"/>
  <c r="Q7" i="36" s="1"/>
  <c r="O98" i="36"/>
  <c r="P97" i="36"/>
  <c r="N99" i="36"/>
  <c r="N100" i="36" s="1"/>
  <c r="P32" i="36"/>
  <c r="Q32" i="36" s="1"/>
  <c r="Q31" i="36"/>
  <c r="N34" i="35"/>
  <c r="P15" i="35"/>
  <c r="Q15" i="35" s="1"/>
  <c r="P32" i="35"/>
  <c r="Q32" i="35" s="1"/>
  <c r="Q31" i="35"/>
  <c r="P7" i="35"/>
  <c r="Q7" i="35" s="1"/>
  <c r="P8" i="35"/>
  <c r="O99" i="36" l="1"/>
  <c r="O100" i="36"/>
  <c r="P33" i="36"/>
  <c r="P98" i="36"/>
  <c r="D105" i="36"/>
  <c r="E105" i="36" s="1"/>
  <c r="Q97" i="36"/>
  <c r="P8" i="36"/>
  <c r="P61" i="35"/>
  <c r="Q8" i="35"/>
  <c r="Q61" i="35" s="1"/>
  <c r="P33" i="35"/>
  <c r="P16" i="35"/>
  <c r="Q16" i="35" s="1"/>
  <c r="E106" i="36" l="1"/>
  <c r="F105" i="36"/>
  <c r="Q33" i="36"/>
  <c r="P34" i="36" s="1"/>
  <c r="Q34" i="36" s="1"/>
  <c r="O34" i="36"/>
  <c r="P61" i="36"/>
  <c r="Q8" i="36"/>
  <c r="Q61" i="36" s="1"/>
  <c r="P99" i="36"/>
  <c r="D106" i="36"/>
  <c r="P100" i="36"/>
  <c r="Q98" i="36"/>
  <c r="Q33" i="35"/>
  <c r="P34" i="35" s="1"/>
  <c r="O34" i="35"/>
  <c r="Q34" i="35" l="1"/>
  <c r="D108" i="36"/>
  <c r="Q100" i="36"/>
  <c r="D107" i="36"/>
  <c r="Q99" i="36"/>
  <c r="F106" i="36"/>
  <c r="G105" i="36"/>
  <c r="E107" i="36"/>
  <c r="E108" i="36" s="1"/>
  <c r="G106" i="36" l="1"/>
  <c r="H105" i="36"/>
  <c r="F107" i="36"/>
  <c r="F108" i="36"/>
  <c r="H106" i="36" l="1"/>
  <c r="I105" i="36"/>
  <c r="G107" i="36"/>
  <c r="I106" i="36" l="1"/>
  <c r="J105" i="36"/>
  <c r="G108" i="36"/>
  <c r="H107" i="36"/>
  <c r="H108" i="36"/>
  <c r="K105" i="36" l="1"/>
  <c r="J106" i="36"/>
  <c r="I107" i="36"/>
  <c r="I108" i="36"/>
  <c r="J107" i="36" l="1"/>
  <c r="J108" i="36" s="1"/>
  <c r="K106" i="36"/>
  <c r="L105" i="36"/>
  <c r="M105" i="36" l="1"/>
  <c r="L106" i="36"/>
  <c r="K107" i="36"/>
  <c r="K108" i="36" s="1"/>
  <c r="L107" i="36" l="1"/>
  <c r="L108" i="36" s="1"/>
  <c r="N105" i="36"/>
  <c r="M106" i="36"/>
  <c r="M107" i="36" l="1"/>
  <c r="M108" i="36" s="1"/>
  <c r="N106" i="36"/>
  <c r="O105" i="36"/>
  <c r="O106" i="36" l="1"/>
  <c r="P105" i="36"/>
  <c r="N107" i="36"/>
  <c r="N108" i="36" s="1"/>
  <c r="P106" i="36" l="1"/>
  <c r="Q105" i="36"/>
  <c r="O107" i="36"/>
  <c r="O108" i="36" s="1"/>
  <c r="P107" i="36" l="1"/>
  <c r="Q107" i="36" s="1"/>
  <c r="Q106" i="36"/>
  <c r="P108" i="36" l="1"/>
  <c r="Q108" i="36" s="1"/>
  <c r="E14" i="12" l="1"/>
  <c r="P168" i="12" l="1"/>
  <c r="P166" i="12"/>
  <c r="P165" i="12"/>
  <c r="P161" i="12"/>
  <c r="P155" i="12"/>
  <c r="P154" i="12"/>
  <c r="P151" i="12"/>
  <c r="P150" i="12"/>
  <c r="P149" i="12"/>
  <c r="P142" i="12"/>
  <c r="P126" i="12"/>
  <c r="P125" i="12"/>
  <c r="P124" i="12"/>
  <c r="P122" i="12"/>
  <c r="P111" i="12"/>
  <c r="P97" i="12"/>
  <c r="Q86" i="12"/>
  <c r="E7" i="12" s="1"/>
  <c r="P62" i="12"/>
  <c r="Q59" i="12"/>
  <c r="P59" i="12" s="1"/>
  <c r="P58" i="12"/>
  <c r="P42" i="12"/>
  <c r="P41" i="12"/>
  <c r="P40" i="12"/>
  <c r="P39" i="12"/>
  <c r="P36" i="12"/>
  <c r="P35" i="12"/>
  <c r="P34" i="12"/>
  <c r="P33" i="12"/>
  <c r="P32" i="12"/>
  <c r="P31" i="12"/>
  <c r="P30" i="12"/>
  <c r="P28" i="12"/>
  <c r="P27" i="12"/>
  <c r="P25" i="12"/>
  <c r="P24" i="12"/>
  <c r="P23" i="12"/>
  <c r="P22" i="12"/>
  <c r="P21" i="12"/>
  <c r="D20" i="12"/>
  <c r="D19" i="12"/>
  <c r="P18" i="12"/>
  <c r="D18" i="12"/>
  <c r="P17" i="12"/>
  <c r="D17" i="12"/>
  <c r="P16" i="12"/>
  <c r="P15" i="12"/>
  <c r="F15" i="12"/>
  <c r="P14" i="12"/>
  <c r="F14" i="12"/>
  <c r="P13" i="12"/>
  <c r="E13" i="12"/>
  <c r="P12" i="12"/>
  <c r="E12" i="12"/>
  <c r="F12" i="12" s="1"/>
  <c r="P11" i="12"/>
  <c r="E11" i="12"/>
  <c r="F11" i="12" s="1"/>
  <c r="P10" i="12"/>
  <c r="E10" i="12"/>
  <c r="F10" i="12" s="1"/>
  <c r="P9" i="12"/>
  <c r="E9" i="12"/>
  <c r="F9" i="12" s="1"/>
  <c r="P8" i="12"/>
  <c r="E8" i="12"/>
  <c r="F8" i="12" s="1"/>
  <c r="P7" i="12"/>
  <c r="P6" i="12"/>
  <c r="P5" i="12"/>
  <c r="E5" i="12"/>
  <c r="F5" i="12" s="1"/>
  <c r="P4" i="12"/>
  <c r="E4" i="12"/>
  <c r="R3" i="12"/>
  <c r="O3" i="12"/>
  <c r="N3" i="12"/>
  <c r="L3" i="12"/>
  <c r="D3" i="12"/>
  <c r="E18" i="12" l="1"/>
  <c r="F18" i="12" s="1"/>
  <c r="D22" i="12"/>
  <c r="E20" i="12"/>
  <c r="F20" i="12" s="1"/>
  <c r="D21" i="12"/>
  <c r="Q3" i="12"/>
  <c r="F13" i="12"/>
  <c r="E6" i="12"/>
  <c r="F6" i="12" s="1"/>
  <c r="F7" i="12"/>
  <c r="E19" i="12"/>
  <c r="F4" i="12"/>
  <c r="E3" i="12" l="1"/>
  <c r="F3" i="12" s="1"/>
  <c r="E17" i="12"/>
  <c r="E22" i="12"/>
  <c r="F22" i="12" s="1"/>
  <c r="F19" i="12"/>
  <c r="E21" i="12" l="1"/>
  <c r="F21" i="12" s="1"/>
  <c r="F17" i="12"/>
  <c r="E4" i="34"/>
  <c r="K38" i="34" l="1"/>
  <c r="M37" i="34"/>
  <c r="M33" i="34"/>
  <c r="M25" i="34"/>
  <c r="M40" i="34" l="1"/>
  <c r="M38" i="34" s="1"/>
  <c r="H40" i="34" l="1"/>
  <c r="G38" i="34"/>
  <c r="G40" i="34" s="1"/>
  <c r="F38" i="34"/>
  <c r="F40" i="34" s="1"/>
  <c r="E38" i="34"/>
  <c r="L37" i="34"/>
  <c r="K37" i="34"/>
  <c r="J37" i="34"/>
  <c r="I37" i="34"/>
  <c r="H37" i="34"/>
  <c r="G37" i="34"/>
  <c r="F37" i="34"/>
  <c r="E37" i="34"/>
  <c r="Q36" i="34"/>
  <c r="Q35" i="34"/>
  <c r="Q34" i="34"/>
  <c r="L33" i="34"/>
  <c r="K33" i="34"/>
  <c r="K12" i="34" s="1"/>
  <c r="K14" i="34" s="1"/>
  <c r="J33" i="34"/>
  <c r="J12" i="34" s="1"/>
  <c r="J14" i="34" s="1"/>
  <c r="I33" i="34"/>
  <c r="I12" i="34" s="1"/>
  <c r="I14" i="34" s="1"/>
  <c r="H33" i="34"/>
  <c r="H12" i="34" s="1"/>
  <c r="H14" i="34" s="1"/>
  <c r="G33" i="34"/>
  <c r="G12" i="34" s="1"/>
  <c r="G14" i="34" s="1"/>
  <c r="F33" i="34"/>
  <c r="E33" i="34"/>
  <c r="E12" i="34" s="1"/>
  <c r="E14" i="34" s="1"/>
  <c r="Q31" i="34"/>
  <c r="Q30" i="34"/>
  <c r="Q29" i="34"/>
  <c r="Q28" i="34"/>
  <c r="Q27" i="34"/>
  <c r="Q26" i="34"/>
  <c r="O25" i="34"/>
  <c r="L25" i="34"/>
  <c r="L11" i="34" s="1"/>
  <c r="M11" i="34" s="1"/>
  <c r="K25" i="34"/>
  <c r="K11" i="34" s="1"/>
  <c r="J25" i="34"/>
  <c r="J11" i="34" s="1"/>
  <c r="I25" i="34"/>
  <c r="I11" i="34" s="1"/>
  <c r="H25" i="34"/>
  <c r="H11" i="34" s="1"/>
  <c r="G25" i="34"/>
  <c r="G11" i="34" s="1"/>
  <c r="F25" i="34"/>
  <c r="F11" i="34" s="1"/>
  <c r="E25" i="34"/>
  <c r="E11" i="34" s="1"/>
  <c r="Q24" i="34"/>
  <c r="Q23" i="34"/>
  <c r="Q22" i="34"/>
  <c r="Q20" i="34"/>
  <c r="Q19" i="34"/>
  <c r="Q46" i="34"/>
  <c r="E46" i="34" s="1"/>
  <c r="Q39" i="34" l="1"/>
  <c r="L40" i="34"/>
  <c r="L38" i="34" s="1"/>
  <c r="L12" i="34"/>
  <c r="L14" i="34" s="1"/>
  <c r="Q37" i="34"/>
  <c r="J40" i="34"/>
  <c r="J38" i="34" s="1"/>
  <c r="Q33" i="34"/>
  <c r="E40" i="34"/>
  <c r="E42" i="34" s="1"/>
  <c r="I40" i="34"/>
  <c r="Q54" i="34"/>
  <c r="N11" i="34"/>
  <c r="M12" i="34"/>
  <c r="E5" i="34"/>
  <c r="F12" i="34"/>
  <c r="F14" i="34" s="1"/>
  <c r="F4" i="34"/>
  <c r="H42" i="34" l="1"/>
  <c r="I38" i="34"/>
  <c r="E54" i="34"/>
  <c r="F54" i="34" s="1"/>
  <c r="G54" i="34" s="1"/>
  <c r="H54" i="34" s="1"/>
  <c r="I54" i="34" s="1"/>
  <c r="J54" i="34" s="1"/>
  <c r="K54" i="34" s="1"/>
  <c r="L54" i="34" s="1"/>
  <c r="M54" i="34" s="1"/>
  <c r="N54" i="34" s="1"/>
  <c r="O54" i="34" s="1"/>
  <c r="P54" i="34" s="1"/>
  <c r="Q62" i="34"/>
  <c r="E62" i="34" s="1"/>
  <c r="F62" i="34" s="1"/>
  <c r="G62" i="34" s="1"/>
  <c r="H62" i="34" s="1"/>
  <c r="I62" i="34" s="1"/>
  <c r="J62" i="34" s="1"/>
  <c r="K62" i="34" s="1"/>
  <c r="L62" i="34" s="1"/>
  <c r="M62" i="34" s="1"/>
  <c r="N62" i="34" s="1"/>
  <c r="O62" i="34" s="1"/>
  <c r="P62" i="34" s="1"/>
  <c r="O11" i="34"/>
  <c r="N12" i="34"/>
  <c r="G4" i="34"/>
  <c r="H4" i="34" s="1"/>
  <c r="F5" i="34"/>
  <c r="E6" i="34"/>
  <c r="M13" i="34"/>
  <c r="M14" i="34" s="1"/>
  <c r="E7" i="34" l="1"/>
  <c r="F6" i="34"/>
  <c r="G5" i="34"/>
  <c r="N13" i="34"/>
  <c r="O12" i="34"/>
  <c r="P11" i="34"/>
  <c r="Q11" i="34" s="1"/>
  <c r="D47" i="34" l="1"/>
  <c r="E47" i="34" s="1"/>
  <c r="P12" i="34"/>
  <c r="G6" i="34"/>
  <c r="F7" i="34"/>
  <c r="F41" i="34" s="1"/>
  <c r="O13" i="34"/>
  <c r="O14" i="34" s="1"/>
  <c r="N14" i="34"/>
  <c r="I4" i="34"/>
  <c r="H5" i="34"/>
  <c r="E41" i="34"/>
  <c r="H6" i="34" l="1"/>
  <c r="H7" i="34" s="1"/>
  <c r="H41" i="34" s="1"/>
  <c r="J4" i="34"/>
  <c r="I5" i="34"/>
  <c r="G7" i="34"/>
  <c r="G41" i="34" s="1"/>
  <c r="D49" i="34"/>
  <c r="P13" i="34"/>
  <c r="Q13" i="34" s="1"/>
  <c r="D48" i="34"/>
  <c r="E48" i="34"/>
  <c r="F47" i="34"/>
  <c r="P14" i="34" l="1"/>
  <c r="I6" i="34"/>
  <c r="I7" i="34" s="1"/>
  <c r="I41" i="34" s="1"/>
  <c r="J5" i="34"/>
  <c r="K4" i="34"/>
  <c r="G47" i="34"/>
  <c r="F48" i="34"/>
  <c r="E49" i="34"/>
  <c r="E50" i="34" s="1"/>
  <c r="J6" i="34" l="1"/>
  <c r="J7" i="34" s="1"/>
  <c r="F49" i="34"/>
  <c r="H47" i="34"/>
  <c r="G48" i="34"/>
  <c r="K5" i="34"/>
  <c r="L4" i="34"/>
  <c r="D50" i="34"/>
  <c r="Q14" i="34"/>
  <c r="J41" i="34" l="1"/>
  <c r="L5" i="34"/>
  <c r="M4" i="34"/>
  <c r="K6" i="34"/>
  <c r="K7" i="34" s="1"/>
  <c r="G49" i="34"/>
  <c r="I47" i="34"/>
  <c r="H48" i="34"/>
  <c r="F50" i="34"/>
  <c r="H49" i="34" l="1"/>
  <c r="H50" i="34" s="1"/>
  <c r="I48" i="34"/>
  <c r="J47" i="34"/>
  <c r="G50" i="34"/>
  <c r="M5" i="34"/>
  <c r="N4" i="34"/>
  <c r="L6" i="34"/>
  <c r="L7" i="34" s="1"/>
  <c r="L41" i="34" s="1"/>
  <c r="M6" i="34" l="1"/>
  <c r="M7" i="34" s="1"/>
  <c r="M41" i="34" s="1"/>
  <c r="J48" i="34"/>
  <c r="K47" i="34"/>
  <c r="N5" i="34"/>
  <c r="O4" i="34"/>
  <c r="I49" i="34"/>
  <c r="I50" i="34" s="1"/>
  <c r="O5" i="34" l="1"/>
  <c r="P4" i="34"/>
  <c r="N6" i="34"/>
  <c r="N7" i="34" s="1"/>
  <c r="N41" i="34" s="1"/>
  <c r="L47" i="34"/>
  <c r="K48" i="34"/>
  <c r="J49" i="34"/>
  <c r="J50" i="34" s="1"/>
  <c r="K49" i="34" l="1"/>
  <c r="K50" i="34"/>
  <c r="L48" i="34"/>
  <c r="M47" i="34"/>
  <c r="P5" i="34"/>
  <c r="Q4" i="34"/>
  <c r="O6" i="34"/>
  <c r="O7" i="34" s="1"/>
  <c r="O41" i="34" s="1"/>
  <c r="P6" i="34" l="1"/>
  <c r="Q6" i="34" s="1"/>
  <c r="M48" i="34"/>
  <c r="N47" i="34"/>
  <c r="L49" i="34"/>
  <c r="L50" i="34" s="1"/>
  <c r="O47" i="34" l="1"/>
  <c r="N48" i="34"/>
  <c r="M49" i="34"/>
  <c r="M50" i="34" s="1"/>
  <c r="P7" i="34"/>
  <c r="N49" i="34" l="1"/>
  <c r="N50" i="34"/>
  <c r="P41" i="34"/>
  <c r="Q7" i="34"/>
  <c r="P47" i="34"/>
  <c r="O48" i="34"/>
  <c r="O49" i="34" l="1"/>
  <c r="O50" i="34" s="1"/>
  <c r="P48" i="34"/>
  <c r="D55" i="34"/>
  <c r="E55" i="34" s="1"/>
  <c r="Q47" i="34"/>
  <c r="E56" i="34" l="1"/>
  <c r="F55" i="34"/>
  <c r="P49" i="34"/>
  <c r="D56" i="34"/>
  <c r="P50" i="34"/>
  <c r="D58" i="34" l="1"/>
  <c r="Q50" i="34"/>
  <c r="D57" i="34"/>
  <c r="Q49" i="34"/>
  <c r="G55" i="34"/>
  <c r="F56" i="34"/>
  <c r="E57" i="34"/>
  <c r="F57" i="34" l="1"/>
  <c r="E58" i="34"/>
  <c r="G56" i="34"/>
  <c r="H55" i="34"/>
  <c r="G57" i="34" l="1"/>
  <c r="H56" i="34"/>
  <c r="I55" i="34"/>
  <c r="F58" i="34"/>
  <c r="H57" i="34" l="1"/>
  <c r="H58" i="34" s="1"/>
  <c r="G58" i="34"/>
  <c r="I56" i="34"/>
  <c r="J55" i="34"/>
  <c r="J56" i="34" l="1"/>
  <c r="K55" i="34"/>
  <c r="I57" i="34"/>
  <c r="I58" i="34"/>
  <c r="L55" i="34" l="1"/>
  <c r="K56" i="34"/>
  <c r="J57" i="34"/>
  <c r="J58" i="34" s="1"/>
  <c r="K57" i="34" l="1"/>
  <c r="K58" i="34" s="1"/>
  <c r="L56" i="34"/>
  <c r="M55" i="34"/>
  <c r="M56" i="34" l="1"/>
  <c r="N55" i="34"/>
  <c r="L57" i="34"/>
  <c r="L58" i="34" s="1"/>
  <c r="N56" i="34" l="1"/>
  <c r="O55" i="34"/>
  <c r="M57" i="34"/>
  <c r="M58" i="34" s="1"/>
  <c r="P55" i="34" l="1"/>
  <c r="O56" i="34"/>
  <c r="N57" i="34"/>
  <c r="N58" i="34" s="1"/>
  <c r="O57" i="34" l="1"/>
  <c r="O58" i="34" s="1"/>
  <c r="P56" i="34"/>
  <c r="D63" i="34"/>
  <c r="E63" i="34" s="1"/>
  <c r="Q55" i="34"/>
  <c r="E64" i="34" l="1"/>
  <c r="F63" i="34"/>
  <c r="P57" i="34"/>
  <c r="D64" i="34"/>
  <c r="D65" i="34" l="1"/>
  <c r="Q57" i="34"/>
  <c r="P58" i="34"/>
  <c r="F64" i="34"/>
  <c r="G63" i="34"/>
  <c r="E65" i="34"/>
  <c r="E66" i="34" s="1"/>
  <c r="F65" i="34" l="1"/>
  <c r="F66" i="34" s="1"/>
  <c r="H63" i="34"/>
  <c r="G64" i="34"/>
  <c r="D66" i="34"/>
  <c r="Q58" i="34"/>
  <c r="H64" i="34" l="1"/>
  <c r="I63" i="34"/>
  <c r="G65" i="34"/>
  <c r="G66" i="34"/>
  <c r="I64" i="34" l="1"/>
  <c r="J63" i="34"/>
  <c r="H65" i="34"/>
  <c r="I65" i="34" l="1"/>
  <c r="I66" i="34"/>
  <c r="H66" i="34"/>
  <c r="K63" i="34"/>
  <c r="J64" i="34"/>
  <c r="L63" i="34" l="1"/>
  <c r="K64" i="34"/>
  <c r="J65" i="34"/>
  <c r="J66" i="34"/>
  <c r="K65" i="34" l="1"/>
  <c r="K66" i="34" s="1"/>
  <c r="L64" i="34"/>
  <c r="M63" i="34"/>
  <c r="N63" i="34" l="1"/>
  <c r="M64" i="34"/>
  <c r="L65" i="34"/>
  <c r="L66" i="34" s="1"/>
  <c r="M65" i="34" l="1"/>
  <c r="M66" i="34" s="1"/>
  <c r="O63" i="34"/>
  <c r="N64" i="34"/>
  <c r="N65" i="34" l="1"/>
  <c r="N66" i="34" s="1"/>
  <c r="P63" i="34"/>
  <c r="O64" i="34"/>
  <c r="O65" i="34" l="1"/>
  <c r="O66" i="34" s="1"/>
  <c r="P64" i="34"/>
  <c r="Q63" i="34"/>
  <c r="P65" i="34" l="1"/>
  <c r="Q65" i="34" s="1"/>
  <c r="P66" i="34" l="1"/>
  <c r="Q66" i="34" s="1"/>
  <c r="Q38" i="34" l="1"/>
  <c r="K40" i="34"/>
  <c r="K42" i="34" s="1"/>
  <c r="K41" i="34" l="1"/>
  <c r="Q40" i="34"/>
  <c r="Q41" i="34" s="1"/>
  <c r="N42" i="34"/>
  <c r="P25" i="34" l="1"/>
  <c r="Q25" i="34" s="1"/>
  <c r="Q21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91" authorId="0" shapeId="0" xr:uid="{4392FFBC-6894-4624-B62E-C00FA01841D9}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MF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>3%</t>
        </r>
        <r>
          <rPr>
            <b/>
            <sz val="9"/>
            <color indexed="81"/>
            <rFont val="돋움"/>
            <family val="3"/>
            <charset val="129"/>
          </rPr>
          <t>인하</t>
        </r>
      </text>
    </comment>
    <comment ref="C99" authorId="0" shapeId="0" xr:uid="{B4E452C8-D483-4970-85F7-94A0368C48C9}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MF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2%</t>
        </r>
        <r>
          <rPr>
            <b/>
            <sz val="9"/>
            <color indexed="81"/>
            <rFont val="돋움"/>
            <family val="3"/>
            <charset val="129"/>
          </rPr>
          <t>추가인하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이정현</author>
  </authors>
  <commentList>
    <comment ref="N2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실이용식수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P2" authorId="0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인당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
(ex. 7,000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>x</t>
        </r>
        <r>
          <rPr>
            <b/>
            <sz val="9"/>
            <color indexed="81"/>
            <rFont val="돋움"/>
            <family val="3"/>
            <charset val="129"/>
          </rPr>
          <t>영업일</t>
        </r>
        <r>
          <rPr>
            <b/>
            <sz val="9"/>
            <color indexed="81"/>
            <rFont val="Tahoma"/>
            <family val="2"/>
          </rPr>
          <t>20 = 140,000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2" authorId="0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예상거래액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기재
</t>
        </r>
        <r>
          <rPr>
            <b/>
            <sz val="9"/>
            <color indexed="81"/>
            <rFont val="Tahoma"/>
            <family val="2"/>
          </rPr>
          <t xml:space="preserve">(ex. </t>
        </r>
        <r>
          <rPr>
            <b/>
            <sz val="9"/>
            <color indexed="81"/>
            <rFont val="돋움"/>
            <family val="3"/>
            <charset val="129"/>
          </rPr>
          <t>임직원수</t>
        </r>
        <r>
          <rPr>
            <b/>
            <sz val="9"/>
            <color indexed="81"/>
            <rFont val="Tahoma"/>
            <family val="2"/>
          </rPr>
          <t>x</t>
        </r>
        <r>
          <rPr>
            <b/>
            <sz val="9"/>
            <color indexed="81"/>
            <rFont val="돋움"/>
            <family val="3"/>
            <charset val="129"/>
          </rPr>
          <t>월지급액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R2" authorId="0" shapeId="0" xr:uid="{00000000-0006-0000-0200-000004000000}">
      <text>
        <r>
          <rPr>
            <b/>
            <sz val="9"/>
            <color indexed="81"/>
            <rFont val="돋움"/>
            <family val="3"/>
            <charset val="129"/>
          </rPr>
          <t>오픈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익월</t>
        </r>
        <r>
          <rPr>
            <b/>
            <sz val="9"/>
            <color indexed="81"/>
            <rFont val="Tahoma"/>
            <family val="2"/>
          </rPr>
          <t>~</t>
        </r>
        <r>
          <rPr>
            <b/>
            <sz val="9"/>
            <color indexed="81"/>
            <rFont val="돋움"/>
            <family val="3"/>
            <charset val="129"/>
          </rPr>
          <t>익익월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실거래액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업데이트</t>
        </r>
      </text>
    </comment>
    <comment ref="S2" authorId="0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인바운드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T2" authorId="0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영업담당자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U2" authorId="0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나이스비즈인포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V2" authorId="0" shapeId="0" xr:uid="{00000000-0006-0000-0200-000008000000}">
      <text>
        <r>
          <rPr>
            <b/>
            <sz val="9"/>
            <color indexed="81"/>
            <rFont val="돋움"/>
            <family val="3"/>
            <charset val="129"/>
          </rPr>
          <t>서울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구
기타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시</t>
        </r>
      </text>
    </comment>
    <comment ref="W2" authorId="0" shapeId="0" xr:uid="{00000000-0006-0000-0200-000009000000}">
      <text>
        <r>
          <rPr>
            <b/>
            <sz val="9"/>
            <color indexed="81"/>
            <rFont val="돋움"/>
            <family val="3"/>
            <charset val="129"/>
          </rPr>
          <t>공항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특이사항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B13" authorId="0" shapeId="0" xr:uid="{00000000-0006-0000-0200-00000A000000}">
      <text>
        <r>
          <rPr>
            <b/>
            <sz val="9"/>
            <color indexed="81"/>
            <rFont val="돋움"/>
            <family val="3"/>
            <charset val="129"/>
          </rPr>
          <t>3분기 마감 후 목표재조정 
- 잔여목표 4.5억 예상</t>
        </r>
      </text>
    </comment>
    <comment ref="L15" authorId="0" shapeId="0" xr:uid="{00000000-0006-0000-0200-00000B000000}">
      <text>
        <r>
          <rPr>
            <b/>
            <sz val="9"/>
            <color indexed="81"/>
            <rFont val="돋움"/>
            <family val="3"/>
            <charset val="129"/>
          </rPr>
          <t>안양세종의원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MF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>3%</t>
        </r>
        <r>
          <rPr>
            <b/>
            <sz val="9"/>
            <color indexed="81"/>
            <rFont val="돋움"/>
            <family val="3"/>
            <charset val="129"/>
          </rPr>
          <t>인하</t>
        </r>
      </text>
    </comment>
    <comment ref="C5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MF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2%</t>
        </r>
        <r>
          <rPr>
            <b/>
            <sz val="9"/>
            <color indexed="81"/>
            <rFont val="돋움"/>
            <family val="3"/>
            <charset val="129"/>
          </rPr>
          <t>추가인하</t>
        </r>
      </text>
    </comment>
  </commentList>
</comments>
</file>

<file path=xl/sharedStrings.xml><?xml version="1.0" encoding="utf-8"?>
<sst xmlns="http://schemas.openxmlformats.org/spreadsheetml/2006/main" count="8143" uniqueCount="3044">
  <si>
    <t>기업명</t>
  </si>
  <si>
    <t>2월</t>
    <phoneticPr fontId="3" type="noConversion"/>
  </si>
  <si>
    <t>합계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</si>
  <si>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</si>
  <si>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</si>
  <si>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</si>
  <si>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</si>
  <si>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</si>
  <si>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</si>
  <si>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</si>
  <si>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</si>
  <si>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</si>
  <si>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</si>
  <si>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4월</t>
    <phoneticPr fontId="3" type="noConversion"/>
  </si>
  <si>
    <t>9월</t>
    <phoneticPr fontId="3" type="noConversion"/>
  </si>
  <si>
    <t>11월</t>
  </si>
  <si>
    <t>12월</t>
  </si>
  <si>
    <t>거래액</t>
  </si>
  <si>
    <t>3월</t>
    <phoneticPr fontId="3" type="noConversion"/>
  </si>
  <si>
    <t>10월</t>
    <phoneticPr fontId="3" type="noConversion"/>
  </si>
  <si>
    <t>지역</t>
    <phoneticPr fontId="3" type="noConversion"/>
  </si>
  <si>
    <t>구분</t>
    <phoneticPr fontId="3" type="noConversion"/>
  </si>
  <si>
    <t>1월</t>
    <phoneticPr fontId="3" type="noConversion"/>
  </si>
  <si>
    <t>5월</t>
    <phoneticPr fontId="3" type="noConversion"/>
  </si>
  <si>
    <t>6월</t>
    <phoneticPr fontId="3" type="noConversion"/>
  </si>
  <si>
    <t>2분기</t>
    <phoneticPr fontId="3" type="noConversion"/>
  </si>
  <si>
    <t>7월</t>
    <phoneticPr fontId="3" type="noConversion"/>
  </si>
  <si>
    <t>8월</t>
    <phoneticPr fontId="3" type="noConversion"/>
  </si>
  <si>
    <t>3분기</t>
    <phoneticPr fontId="3" type="noConversion"/>
  </si>
  <si>
    <t>11월</t>
    <phoneticPr fontId="3" type="noConversion"/>
  </si>
  <si>
    <t>12월</t>
    <phoneticPr fontId="3" type="noConversion"/>
  </si>
  <si>
    <t>합계</t>
    <phoneticPr fontId="3" type="noConversion"/>
  </si>
  <si>
    <t>임직원수</t>
    <phoneticPr fontId="3" type="noConversion"/>
  </si>
  <si>
    <t>이노메트리</t>
    <phoneticPr fontId="3" type="noConversion"/>
  </si>
  <si>
    <t>가산</t>
    <phoneticPr fontId="3" type="noConversion"/>
  </si>
  <si>
    <t>티웨이항공</t>
    <phoneticPr fontId="3" type="noConversion"/>
  </si>
  <si>
    <t>샤프</t>
    <phoneticPr fontId="3" type="noConversion"/>
  </si>
  <si>
    <t>실패</t>
    <phoneticPr fontId="3" type="noConversion"/>
  </si>
  <si>
    <t>사람인, 비상교육</t>
    <phoneticPr fontId="3" type="noConversion"/>
  </si>
  <si>
    <t>담당자정보</t>
    <phoneticPr fontId="3" type="noConversion"/>
  </si>
  <si>
    <t>010-2654-4263</t>
  </si>
  <si>
    <t>기업정보</t>
    <phoneticPr fontId="3" type="noConversion"/>
  </si>
  <si>
    <t>미팅일자</t>
    <phoneticPr fontId="3" type="noConversion"/>
  </si>
  <si>
    <t>도입여부</t>
    <phoneticPr fontId="3" type="noConversion"/>
  </si>
  <si>
    <t>기업명</t>
    <phoneticPr fontId="3" type="noConversion"/>
  </si>
  <si>
    <t>서비스</t>
    <phoneticPr fontId="3" type="noConversion"/>
  </si>
  <si>
    <t>이름/직급</t>
    <phoneticPr fontId="3" type="noConversion"/>
  </si>
  <si>
    <t>연락처</t>
    <phoneticPr fontId="3" type="noConversion"/>
  </si>
  <si>
    <t>이메일</t>
    <phoneticPr fontId="3" type="noConversion"/>
  </si>
  <si>
    <t>매출 (0.77%)</t>
  </si>
  <si>
    <t>매출원가 (53%)</t>
  </si>
  <si>
    <t>매출이익 (47%)</t>
  </si>
  <si>
    <t>참핏</t>
    <phoneticPr fontId="3" type="noConversion"/>
  </si>
  <si>
    <t>1분기</t>
    <phoneticPr fontId="3" type="noConversion"/>
  </si>
  <si>
    <t>주요타겟</t>
    <phoneticPr fontId="3" type="noConversion"/>
  </si>
  <si>
    <t>인라이플, GS건설</t>
    <phoneticPr fontId="3" type="noConversion"/>
  </si>
  <si>
    <t>아시아나항공</t>
    <phoneticPr fontId="3" type="noConversion"/>
  </si>
  <si>
    <t>강서구</t>
    <phoneticPr fontId="3" type="noConversion"/>
  </si>
  <si>
    <t>한국공항</t>
    <phoneticPr fontId="3" type="noConversion"/>
  </si>
  <si>
    <t>광고대행업</t>
    <phoneticPr fontId="3" type="noConversion"/>
  </si>
  <si>
    <t>아시아나에어포트</t>
    <phoneticPr fontId="3" type="noConversion"/>
  </si>
  <si>
    <t>인천공항공사</t>
    <phoneticPr fontId="3" type="noConversion"/>
  </si>
  <si>
    <t>금천구</t>
    <phoneticPr fontId="3" type="noConversion"/>
  </si>
  <si>
    <t>브이랩스</t>
    <phoneticPr fontId="3" type="noConversion"/>
  </si>
  <si>
    <t>리프이노베이션</t>
    <phoneticPr fontId="3" type="noConversion"/>
  </si>
  <si>
    <t>에어부산</t>
    <phoneticPr fontId="3" type="noConversion"/>
  </si>
  <si>
    <t>에어서울</t>
    <phoneticPr fontId="3" type="noConversion"/>
  </si>
  <si>
    <t>목표</t>
    <phoneticPr fontId="3" type="noConversion"/>
  </si>
  <si>
    <t>성과</t>
    <phoneticPr fontId="3" type="noConversion"/>
  </si>
  <si>
    <t>달성률</t>
    <phoneticPr fontId="3" type="noConversion"/>
  </si>
  <si>
    <t>2025년</t>
    <phoneticPr fontId="3" type="noConversion"/>
  </si>
  <si>
    <t>제니엘, 대한항공마곡</t>
    <phoneticPr fontId="3" type="noConversion"/>
  </si>
  <si>
    <t>식권</t>
    <phoneticPr fontId="3" type="noConversion"/>
  </si>
  <si>
    <t>에어부산, 에어서울</t>
    <phoneticPr fontId="3" type="noConversion"/>
  </si>
  <si>
    <t>제주항공</t>
    <phoneticPr fontId="3" type="noConversion"/>
  </si>
  <si>
    <t>강남구</t>
    <phoneticPr fontId="3" type="noConversion"/>
  </si>
  <si>
    <t>4분기</t>
    <phoneticPr fontId="3" type="noConversion"/>
  </si>
  <si>
    <t>신규</t>
    <phoneticPr fontId="3" type="noConversion"/>
  </si>
  <si>
    <t>복지</t>
    <phoneticPr fontId="3" type="noConversion"/>
  </si>
  <si>
    <t>공항</t>
    <phoneticPr fontId="3" type="noConversion"/>
  </si>
  <si>
    <t>이엠아이</t>
    <phoneticPr fontId="3" type="noConversion"/>
  </si>
  <si>
    <t>-</t>
    <phoneticPr fontId="3" type="noConversion"/>
  </si>
  <si>
    <t>내용</t>
    <phoneticPr fontId="3" type="noConversion"/>
  </si>
  <si>
    <t>식권</t>
    <phoneticPr fontId="14" type="noConversion"/>
  </si>
  <si>
    <t>이종민</t>
    <phoneticPr fontId="3" type="noConversion"/>
  </si>
  <si>
    <t>SKC새마을금고</t>
  </si>
  <si>
    <t>복지</t>
  </si>
  <si>
    <t>인바운드</t>
  </si>
  <si>
    <t>이종민</t>
  </si>
  <si>
    <t>신용조합</t>
  </si>
  <si>
    <t>수원시</t>
  </si>
  <si>
    <t>에이팩트</t>
  </si>
  <si>
    <t>아웃바운드</t>
  </si>
  <si>
    <t>반도체소자제조업</t>
  </si>
  <si>
    <t>안성시</t>
  </si>
  <si>
    <t>영업현황</t>
    <phoneticPr fontId="3" type="noConversion"/>
  </si>
  <si>
    <t>영업일자</t>
    <phoneticPr fontId="3" type="noConversion"/>
  </si>
  <si>
    <t>비고</t>
    <phoneticPr fontId="3" type="noConversion"/>
  </si>
  <si>
    <t>영업월</t>
    <phoneticPr fontId="3" type="noConversion"/>
  </si>
  <si>
    <t>에어프레미아</t>
    <phoneticPr fontId="3" type="noConversion"/>
  </si>
  <si>
    <t>JAS</t>
    <phoneticPr fontId="3" type="noConversion"/>
  </si>
  <si>
    <t>싱가포르항공</t>
    <phoneticPr fontId="3" type="noConversion"/>
  </si>
  <si>
    <t>밀쿠폰</t>
    <phoneticPr fontId="3" type="noConversion"/>
  </si>
  <si>
    <t>검토중</t>
    <phoneticPr fontId="3" type="noConversion"/>
  </si>
  <si>
    <t>과천</t>
    <phoneticPr fontId="3" type="noConversion"/>
  </si>
  <si>
    <t>식권, 복지</t>
    <phoneticPr fontId="3" type="noConversion"/>
  </si>
  <si>
    <t>오픈</t>
    <phoneticPr fontId="3" type="noConversion"/>
  </si>
  <si>
    <t>진코어</t>
    <phoneticPr fontId="3" type="noConversion"/>
  </si>
  <si>
    <t>대전</t>
    <phoneticPr fontId="3" type="noConversion"/>
  </si>
  <si>
    <t>안산</t>
    <phoneticPr fontId="3" type="noConversion"/>
  </si>
  <si>
    <t>인터엑스</t>
    <phoneticPr fontId="3" type="noConversion"/>
  </si>
  <si>
    <t>진학사</t>
    <phoneticPr fontId="3" type="noConversion"/>
  </si>
  <si>
    <t>도입확정</t>
    <phoneticPr fontId="3" type="noConversion"/>
  </si>
  <si>
    <t>삼일솔루션</t>
    <phoneticPr fontId="3" type="noConversion"/>
  </si>
  <si>
    <t>강남</t>
    <phoneticPr fontId="3" type="noConversion"/>
  </si>
  <si>
    <t>강동헌</t>
    <phoneticPr fontId="3" type="noConversion"/>
  </si>
  <si>
    <t>거래액</t>
    <phoneticPr fontId="3" type="noConversion"/>
  </si>
  <si>
    <t>윙크</t>
    <phoneticPr fontId="3" type="noConversion"/>
  </si>
  <si>
    <t>항목</t>
    <phoneticPr fontId="3" type="noConversion"/>
  </si>
  <si>
    <t>공항 거래액</t>
    <phoneticPr fontId="3" type="noConversion"/>
  </si>
  <si>
    <t>로컬 거래액</t>
    <phoneticPr fontId="3" type="noConversion"/>
  </si>
  <si>
    <t>하이닉스 거래액</t>
    <phoneticPr fontId="3" type="noConversion"/>
  </si>
  <si>
    <t>인증형 거래액</t>
    <phoneticPr fontId="3" type="noConversion"/>
  </si>
  <si>
    <t>복지포인트 거래액</t>
    <phoneticPr fontId="3" type="noConversion"/>
  </si>
  <si>
    <t>윙크몰 거래액</t>
    <phoneticPr fontId="3" type="noConversion"/>
  </si>
  <si>
    <t>매출</t>
    <phoneticPr fontId="3" type="noConversion"/>
  </si>
  <si>
    <t>공항 매출</t>
    <phoneticPr fontId="3" type="noConversion"/>
  </si>
  <si>
    <t>로컬 매출</t>
    <phoneticPr fontId="3" type="noConversion"/>
  </si>
  <si>
    <t>하이닉스 매출</t>
    <phoneticPr fontId="3" type="noConversion"/>
  </si>
  <si>
    <t>인증형 매출</t>
    <phoneticPr fontId="3" type="noConversion"/>
  </si>
  <si>
    <t>복지포인트 매출</t>
    <phoneticPr fontId="3" type="noConversion"/>
  </si>
  <si>
    <t>윙크몰 매출</t>
    <phoneticPr fontId="3" type="noConversion"/>
  </si>
  <si>
    <t>매출 원가</t>
    <phoneticPr fontId="3" type="noConversion"/>
  </si>
  <si>
    <t>이지웰마케팅</t>
    <phoneticPr fontId="3" type="noConversion"/>
  </si>
  <si>
    <t>엠에프데이터</t>
    <phoneticPr fontId="3" type="noConversion"/>
  </si>
  <si>
    <t>케이솔루션</t>
    <phoneticPr fontId="3" type="noConversion"/>
  </si>
  <si>
    <t>매출 이익</t>
    <phoneticPr fontId="3" type="noConversion"/>
  </si>
  <si>
    <t>PAYCO</t>
    <phoneticPr fontId="3" type="noConversion"/>
  </si>
  <si>
    <t>임직원수</t>
    <phoneticPr fontId="14" type="noConversion"/>
  </si>
  <si>
    <t>실거래액</t>
    <phoneticPr fontId="3" type="noConversion"/>
  </si>
  <si>
    <t>업종</t>
    <phoneticPr fontId="3" type="noConversion"/>
  </si>
  <si>
    <t>아웃바운드</t>
    <phoneticPr fontId="3" type="noConversion"/>
  </si>
  <si>
    <t>인바운드</t>
    <phoneticPr fontId="3" type="noConversion"/>
  </si>
  <si>
    <t>소프트웨어개발및공급업</t>
    <phoneticPr fontId="3" type="noConversion"/>
  </si>
  <si>
    <t>성남시</t>
    <phoneticPr fontId="3" type="noConversion"/>
  </si>
  <si>
    <t>루트컨설팅</t>
    <phoneticPr fontId="3" type="noConversion"/>
  </si>
  <si>
    <t>송파구</t>
    <phoneticPr fontId="3" type="noConversion"/>
  </si>
  <si>
    <t>KD운송그룹(김포)</t>
    <phoneticPr fontId="3" type="noConversion"/>
  </si>
  <si>
    <t>엠디피아이코리아</t>
    <phoneticPr fontId="3" type="noConversion"/>
  </si>
  <si>
    <t>성동구</t>
    <phoneticPr fontId="3" type="noConversion"/>
  </si>
  <si>
    <t>텐북</t>
    <phoneticPr fontId="3" type="noConversion"/>
  </si>
  <si>
    <t>프렌드공동근로복지기금</t>
    <phoneticPr fontId="3" type="noConversion"/>
  </si>
  <si>
    <t>안양시</t>
    <phoneticPr fontId="3" type="noConversion"/>
  </si>
  <si>
    <t>업테라</t>
    <phoneticPr fontId="3" type="noConversion"/>
  </si>
  <si>
    <t>항공여객운송업</t>
    <phoneticPr fontId="3" type="noConversion"/>
  </si>
  <si>
    <t>디앤디코퍼레이션</t>
    <phoneticPr fontId="3" type="noConversion"/>
  </si>
  <si>
    <t>크랩스</t>
    <phoneticPr fontId="3" type="noConversion"/>
  </si>
  <si>
    <t>스윙인터내셔널</t>
    <phoneticPr fontId="3" type="noConversion"/>
  </si>
  <si>
    <t>시큐파이드</t>
    <phoneticPr fontId="3" type="noConversion"/>
  </si>
  <si>
    <t>대전시</t>
    <phoneticPr fontId="3" type="noConversion"/>
  </si>
  <si>
    <t>전시컨벤션행사대행업</t>
    <phoneticPr fontId="3" type="noConversion"/>
  </si>
  <si>
    <t>동양산업</t>
    <phoneticPr fontId="3" type="noConversion"/>
  </si>
  <si>
    <t>SBSi</t>
    <phoneticPr fontId="3" type="noConversion"/>
  </si>
  <si>
    <t>엠피리언코리아</t>
    <phoneticPr fontId="3" type="noConversion"/>
  </si>
  <si>
    <t>인라이플</t>
    <phoneticPr fontId="3" type="noConversion"/>
  </si>
  <si>
    <t>부산시</t>
    <phoneticPr fontId="3" type="noConversion"/>
  </si>
  <si>
    <t>건창이앤텍</t>
    <phoneticPr fontId="3" type="noConversion"/>
  </si>
  <si>
    <t>더롬다이어트</t>
    <phoneticPr fontId="3" type="noConversion"/>
  </si>
  <si>
    <t>파이드픽셀즈</t>
    <phoneticPr fontId="3" type="noConversion"/>
  </si>
  <si>
    <t>오산시</t>
    <phoneticPr fontId="3" type="noConversion"/>
  </si>
  <si>
    <t>인천공항</t>
    <phoneticPr fontId="3" type="noConversion"/>
  </si>
  <si>
    <t>마곡</t>
    <phoneticPr fontId="3" type="noConversion"/>
  </si>
  <si>
    <t>비투엘물류</t>
    <phoneticPr fontId="3" type="noConversion"/>
  </si>
  <si>
    <t>브릿지그룹</t>
    <phoneticPr fontId="3" type="noConversion"/>
  </si>
  <si>
    <t>사람인</t>
    <phoneticPr fontId="3" type="noConversion"/>
  </si>
  <si>
    <t>해성컴퍼니</t>
    <phoneticPr fontId="3" type="noConversion"/>
  </si>
  <si>
    <t>더블유비씨코리아</t>
    <phoneticPr fontId="3" type="noConversion"/>
  </si>
  <si>
    <t>용산</t>
    <phoneticPr fontId="3" type="noConversion"/>
  </si>
  <si>
    <t>송도</t>
    <phoneticPr fontId="3" type="noConversion"/>
  </si>
  <si>
    <t>메이필드호텔</t>
    <phoneticPr fontId="3" type="noConversion"/>
  </si>
  <si>
    <t>디마프</t>
    <phoneticPr fontId="3" type="noConversion"/>
  </si>
  <si>
    <t>씨유박스</t>
    <phoneticPr fontId="3" type="noConversion"/>
  </si>
  <si>
    <t>브로드웨이브</t>
    <phoneticPr fontId="3" type="noConversion"/>
  </si>
  <si>
    <t>사람인에이치에스</t>
    <phoneticPr fontId="3" type="noConversion"/>
  </si>
  <si>
    <t>그리드위즈</t>
    <phoneticPr fontId="3" type="noConversion"/>
  </si>
  <si>
    <t>식권,복지</t>
    <phoneticPr fontId="3" type="noConversion"/>
  </si>
  <si>
    <t>여의도</t>
    <phoneticPr fontId="3" type="noConversion"/>
  </si>
  <si>
    <t>몬드리안 서울 이태원</t>
    <phoneticPr fontId="3" type="noConversion"/>
  </si>
  <si>
    <t>페이히어</t>
    <phoneticPr fontId="3" type="noConversion"/>
  </si>
  <si>
    <t>코웨이갤러리</t>
    <phoneticPr fontId="3" type="noConversion"/>
  </si>
  <si>
    <t>기업수</t>
    <phoneticPr fontId="3" type="noConversion"/>
  </si>
  <si>
    <t>영업담당자</t>
    <phoneticPr fontId="3" type="noConversion"/>
  </si>
  <si>
    <t>인입일자</t>
    <phoneticPr fontId="3" type="noConversion"/>
  </si>
  <si>
    <t>상담일자</t>
    <phoneticPr fontId="3" type="noConversion"/>
  </si>
  <si>
    <t>광주</t>
    <phoneticPr fontId="3" type="noConversion"/>
  </si>
  <si>
    <t>복지포인트 월 20만원 지급 (월 360만원)</t>
    <phoneticPr fontId="3" type="noConversion"/>
  </si>
  <si>
    <t>권소연</t>
    <phoneticPr fontId="3" type="noConversion"/>
  </si>
  <si>
    <t>010-3780-4118</t>
    <phoneticPr fontId="3" type="noConversion"/>
  </si>
  <si>
    <t>lacoshm@crabs.ai</t>
    <phoneticPr fontId="3" type="noConversion"/>
  </si>
  <si>
    <t>탑런콜드체인솔루션</t>
    <phoneticPr fontId="3" type="noConversion"/>
  </si>
  <si>
    <t>구미</t>
    <phoneticPr fontId="3" type="noConversion"/>
  </si>
  <si>
    <t>생일자 및 명절 포인트 지급, 인당 연 25만원 (연 400만원)</t>
    <phoneticPr fontId="3" type="noConversion"/>
  </si>
  <si>
    <t>최승현</t>
    <phoneticPr fontId="3" type="noConversion"/>
  </si>
  <si>
    <t>010-4171-2994</t>
    <phoneticPr fontId="3" type="noConversion"/>
  </si>
  <si>
    <t>csh0216@top-run.net</t>
    <phoneticPr fontId="3" type="noConversion"/>
  </si>
  <si>
    <t>생일자 및 명절 포인트 지급, 인당 연 25만원 (연 800만원)</t>
    <phoneticPr fontId="3" type="noConversion"/>
  </si>
  <si>
    <t>탑런토탈솔루션</t>
    <phoneticPr fontId="3" type="noConversion"/>
  </si>
  <si>
    <t>생일자 및 명절 포인트 지급, 인당 연 25만원 (연 5,500만원)</t>
    <phoneticPr fontId="3" type="noConversion"/>
  </si>
  <si>
    <t>서플모먼트</t>
    <phoneticPr fontId="3" type="noConversion"/>
  </si>
  <si>
    <t>마포</t>
    <phoneticPr fontId="3" type="noConversion"/>
  </si>
  <si>
    <t>신규 정책 검토 중, 홍대입구역 주변 식권 가맹점 없어 도입 실패</t>
    <phoneticPr fontId="3" type="noConversion"/>
  </si>
  <si>
    <t>김수민</t>
    <phoneticPr fontId="3" type="noConversion"/>
  </si>
  <si>
    <t>010-6255-0266</t>
    <phoneticPr fontId="3" type="noConversion"/>
  </si>
  <si>
    <t>soomin@soonding.com</t>
    <phoneticPr fontId="3" type="noConversion"/>
  </si>
  <si>
    <t xml:space="preserve">사유 : 주변 가맹점 미비 </t>
    <phoneticPr fontId="3" type="noConversion"/>
  </si>
  <si>
    <t>복지포인트 연 50만원 지급 (연 150만원)</t>
    <phoneticPr fontId="3" type="noConversion"/>
  </si>
  <si>
    <t>손기원</t>
    <phoneticPr fontId="3" type="noConversion"/>
  </si>
  <si>
    <t>010-9476-8467</t>
    <phoneticPr fontId="3" type="noConversion"/>
  </si>
  <si>
    <t>sonkiwon6@grosmimi.com</t>
    <phoneticPr fontId="3" type="noConversion"/>
  </si>
  <si>
    <t>석식 7,000원 / 야근식대 11,000원 페이코 전환 검토 중, 3/4 도입확정</t>
    <phoneticPr fontId="3" type="noConversion"/>
  </si>
  <si>
    <t>최은비</t>
    <phoneticPr fontId="3" type="noConversion"/>
  </si>
  <si>
    <t> 010-3111-8683</t>
    <phoneticPr fontId="3" type="noConversion"/>
  </si>
  <si>
    <t>ebchoi@saramin.co.kr</t>
    <phoneticPr fontId="3" type="noConversion"/>
  </si>
  <si>
    <t>복지포인트 반기 별 50만원 지급 (연 400만원)</t>
    <phoneticPr fontId="3" type="noConversion"/>
  </si>
  <si>
    <t>이용균</t>
    <phoneticPr fontId="3" type="noConversion"/>
  </si>
  <si>
    <t>yklee@secufide.co.kr</t>
    <phoneticPr fontId="3" type="noConversion"/>
  </si>
  <si>
    <t>판교</t>
    <phoneticPr fontId="3" type="noConversion"/>
  </si>
  <si>
    <t>인당 일 1,2000원 중식 지원 (월 70만원)</t>
    <phoneticPr fontId="3" type="noConversion"/>
  </si>
  <si>
    <t>김혜리</t>
    <phoneticPr fontId="3" type="noConversion"/>
  </si>
  <si>
    <t>010-7913-4007</t>
    <phoneticPr fontId="3" type="noConversion"/>
  </si>
  <si>
    <t>hailey.kim@dndcorp.co.kr</t>
    <phoneticPr fontId="3" type="noConversion"/>
  </si>
  <si>
    <t>이칠육홀딩스</t>
    <phoneticPr fontId="3" type="noConversion"/>
  </si>
  <si>
    <t>복지정책 미도입 확인</t>
    <phoneticPr fontId="3" type="noConversion"/>
  </si>
  <si>
    <t>송인탁</t>
    <phoneticPr fontId="3" type="noConversion"/>
  </si>
  <si>
    <t>010-4594-4336</t>
    <phoneticPr fontId="3" type="noConversion"/>
  </si>
  <si>
    <t>mason@276holdings.com</t>
    <phoneticPr fontId="3" type="noConversion"/>
  </si>
  <si>
    <t>사유 : 복지 미도입</t>
    <phoneticPr fontId="3" type="noConversion"/>
  </si>
  <si>
    <t>보류</t>
    <phoneticPr fontId="3" type="noConversion"/>
  </si>
  <si>
    <t>구리한빛요양병원</t>
    <phoneticPr fontId="3" type="noConversion"/>
  </si>
  <si>
    <t>구리</t>
    <phoneticPr fontId="3" type="noConversion"/>
  </si>
  <si>
    <t>임직원 상여 및 일부 월급 페이코 지급 검토 중, 상세 규모 미정</t>
    <phoneticPr fontId="3" type="noConversion"/>
  </si>
  <si>
    <t>김힘찬</t>
    <phoneticPr fontId="3" type="noConversion"/>
  </si>
  <si>
    <t>010-2031-9624</t>
    <phoneticPr fontId="3" type="noConversion"/>
  </si>
  <si>
    <t>cuhanbit@naver.com</t>
    <phoneticPr fontId="3" type="noConversion"/>
  </si>
  <si>
    <t>ST인터내셔널</t>
    <phoneticPr fontId="3" type="noConversion"/>
  </si>
  <si>
    <t>인당 월 20만원 (월 1400만원)</t>
    <phoneticPr fontId="3" type="noConversion"/>
  </si>
  <si>
    <t>이수민</t>
    <phoneticPr fontId="3" type="noConversion"/>
  </si>
  <si>
    <t>010-2669-4636</t>
    <phoneticPr fontId="3" type="noConversion"/>
  </si>
  <si>
    <t>sumin.lee@sticorp.co.kr</t>
    <phoneticPr fontId="3" type="noConversion"/>
  </si>
  <si>
    <t>제이콥스</t>
    <phoneticPr fontId="3" type="noConversion"/>
  </si>
  <si>
    <r>
      <t>복지 정책 미도입,</t>
    </r>
    <r>
      <rPr>
        <sz val="9"/>
        <color theme="2" tint="-0.249977111117893"/>
        <rFont val="맑은 고딕"/>
        <family val="3"/>
        <charset val="129"/>
        <scheme val="minor"/>
      </rPr>
      <t xml:space="preserve"> 인당 월 8~10만원 복지포인트 지급 (연 3,780만원)</t>
    </r>
    <phoneticPr fontId="3" type="noConversion"/>
  </si>
  <si>
    <t>김재형</t>
    <phoneticPr fontId="3" type="noConversion"/>
  </si>
  <si>
    <t>010-8472-1947</t>
    <phoneticPr fontId="3" type="noConversion"/>
  </si>
  <si>
    <t>jaehyeong@xgalx.com</t>
    <phoneticPr fontId="3" type="noConversion"/>
  </si>
  <si>
    <t>레포르게임즈</t>
    <phoneticPr fontId="3" type="noConversion"/>
  </si>
  <si>
    <t>송파</t>
    <phoneticPr fontId="3" type="noConversion"/>
  </si>
  <si>
    <r>
      <t xml:space="preserve">식권대장 도입 확인 </t>
    </r>
    <r>
      <rPr>
        <sz val="9"/>
        <color theme="2" tint="-0.249977111117893"/>
        <rFont val="맑은 고딕"/>
        <family val="3"/>
        <charset val="129"/>
        <scheme val="minor"/>
      </rPr>
      <t xml:space="preserve">야근식대 1만원 현금 지급, 주변 가맹점 없어 복지포인트로 검토 중 </t>
    </r>
    <phoneticPr fontId="3" type="noConversion"/>
  </si>
  <si>
    <t>유덕희</t>
    <phoneticPr fontId="3" type="noConversion"/>
  </si>
  <si>
    <t>010-3902-0252</t>
    <phoneticPr fontId="3" type="noConversion"/>
  </si>
  <si>
    <t xml:space="preserve"> yoo_dh0416@leporgames.com</t>
    <phoneticPr fontId="3" type="noConversion"/>
  </si>
  <si>
    <t>사유 : 식권대장 도입</t>
    <phoneticPr fontId="3" type="noConversion"/>
  </si>
  <si>
    <t>매니코어소프트</t>
    <phoneticPr fontId="3" type="noConversion"/>
  </si>
  <si>
    <t>인당 일 7,500원 중식 지원 (월 120만원)</t>
    <phoneticPr fontId="3" type="noConversion"/>
  </si>
  <si>
    <t>박정효</t>
    <phoneticPr fontId="3" type="noConversion"/>
  </si>
  <si>
    <t>010-8552-1910</t>
    <phoneticPr fontId="3" type="noConversion"/>
  </si>
  <si>
    <t>sales@manycoresoft.co.kr</t>
    <phoneticPr fontId="3" type="noConversion"/>
  </si>
  <si>
    <t>에이치에이엔컴퍼니</t>
    <phoneticPr fontId="3" type="noConversion"/>
  </si>
  <si>
    <t>상세 정책 미정</t>
    <phoneticPr fontId="3" type="noConversion"/>
  </si>
  <si>
    <t>강진한</t>
    <phoneticPr fontId="3" type="noConversion"/>
  </si>
  <si>
    <t>010-3750-9071</t>
    <phoneticPr fontId="3" type="noConversion"/>
  </si>
  <si>
    <t>yyyww@hancompany.co.kr</t>
    <phoneticPr fontId="3" type="noConversion"/>
  </si>
  <si>
    <t>서류 안내</t>
    <phoneticPr fontId="3" type="noConversion"/>
  </si>
  <si>
    <t>사비노델베네코리아</t>
    <phoneticPr fontId="3" type="noConversion"/>
  </si>
  <si>
    <t>강서</t>
    <phoneticPr fontId="3" type="noConversion"/>
  </si>
  <si>
    <t>복지 정책 미도입</t>
    <phoneticPr fontId="3" type="noConversion"/>
  </si>
  <si>
    <t>김우중</t>
    <phoneticPr fontId="3" type="noConversion"/>
  </si>
  <si>
    <t>010-9075-0209</t>
    <phoneticPr fontId="3" type="noConversion"/>
  </si>
  <si>
    <t xml:space="preserve">andy.kim@savinodelbene.com </t>
    <phoneticPr fontId="3" type="noConversion"/>
  </si>
  <si>
    <t>케이에스디</t>
    <phoneticPr fontId="3" type="noConversion"/>
  </si>
  <si>
    <t>인당 월 15만원 식대 지원 (월 600만원)</t>
    <phoneticPr fontId="3" type="noConversion"/>
  </si>
  <si>
    <t>오우광</t>
    <phoneticPr fontId="3" type="noConversion"/>
  </si>
  <si>
    <t>010-4200-6440</t>
    <phoneticPr fontId="3" type="noConversion"/>
  </si>
  <si>
    <t xml:space="preserve"> ksdeng0900@naver.com</t>
    <phoneticPr fontId="3" type="noConversion"/>
  </si>
  <si>
    <t>kj법률사무소</t>
    <phoneticPr fontId="3" type="noConversion"/>
  </si>
  <si>
    <t>교대</t>
    <phoneticPr fontId="3" type="noConversion"/>
  </si>
  <si>
    <t>황의정</t>
    <phoneticPr fontId="3" type="noConversion"/>
  </si>
  <si>
    <t>010-5055-5107</t>
    <phoneticPr fontId="3" type="noConversion"/>
  </si>
  <si>
    <t>hwangyj@kjlaw.co.kr</t>
    <phoneticPr fontId="3" type="noConversion"/>
  </si>
  <si>
    <t>엠피리언코리아유한회사</t>
    <phoneticPr fontId="3" type="noConversion"/>
  </si>
  <si>
    <t>분당</t>
    <phoneticPr fontId="3" type="noConversion"/>
  </si>
  <si>
    <t>인당 월 20만원 지급 (월 120만원)</t>
    <phoneticPr fontId="3" type="noConversion"/>
  </si>
  <si>
    <t>최주희</t>
    <phoneticPr fontId="3" type="noConversion"/>
  </si>
  <si>
    <t>010-4538-9340</t>
    <phoneticPr fontId="3" type="noConversion"/>
  </si>
  <si>
    <t xml:space="preserve"> jh.choi@empyrean.com.추</t>
    <phoneticPr fontId="3" type="noConversion"/>
  </si>
  <si>
    <t>에센디엔텍</t>
    <phoneticPr fontId="3" type="noConversion"/>
  </si>
  <si>
    <t>인당 월 20만원 지급 (연 6,500만원)</t>
    <phoneticPr fontId="3" type="noConversion"/>
  </si>
  <si>
    <t>김병철</t>
    <phoneticPr fontId="3" type="noConversion"/>
  </si>
  <si>
    <t>010-2023-2225</t>
    <phoneticPr fontId="3" type="noConversion"/>
  </si>
  <si>
    <t>gadget@esendt.com</t>
    <phoneticPr fontId="3" type="noConversion"/>
  </si>
  <si>
    <t>구로</t>
    <phoneticPr fontId="3" type="noConversion"/>
  </si>
  <si>
    <t>인당 월 10만원 (연 360만원)</t>
    <phoneticPr fontId="3" type="noConversion"/>
  </si>
  <si>
    <t>김혜진</t>
    <phoneticPr fontId="3" type="noConversion"/>
  </si>
  <si>
    <t>010-6520-5236</t>
    <phoneticPr fontId="3" type="noConversion"/>
  </si>
  <si>
    <t>kunchang@kunchang.kr</t>
    <phoneticPr fontId="3" type="noConversion"/>
  </si>
  <si>
    <t>SKC새마을금고</t>
    <phoneticPr fontId="3" type="noConversion"/>
  </si>
  <si>
    <t>수원</t>
    <phoneticPr fontId="3" type="noConversion"/>
  </si>
  <si>
    <t>인당 연 100만원 (연 300만원)</t>
    <phoneticPr fontId="3" type="noConversion"/>
  </si>
  <si>
    <t>장소영</t>
    <phoneticPr fontId="3" type="noConversion"/>
  </si>
  <si>
    <t>010-4704-4620</t>
    <phoneticPr fontId="3" type="noConversion"/>
  </si>
  <si>
    <t>Kfcc3823@kfcc.co.kr</t>
    <phoneticPr fontId="3" type="noConversion"/>
  </si>
  <si>
    <t>인당 연 30~40만원 지급 (연 1800만원)</t>
    <phoneticPr fontId="3" type="noConversion"/>
  </si>
  <si>
    <t>민유정</t>
    <phoneticPr fontId="3" type="noConversion"/>
  </si>
  <si>
    <t>02-626-5028</t>
    <phoneticPr fontId="3" type="noConversion"/>
  </si>
  <si>
    <t>yjmin@btllogis.com</t>
    <phoneticPr fontId="3" type="noConversion"/>
  </si>
  <si>
    <t>놀던친구들</t>
    <phoneticPr fontId="3" type="noConversion"/>
  </si>
  <si>
    <t>정지선</t>
    <phoneticPr fontId="3" type="noConversion"/>
  </si>
  <si>
    <t>010-7323-0079</t>
    <phoneticPr fontId="3" type="noConversion"/>
  </si>
  <si>
    <t xml:space="preserve">stella@nolchin.com </t>
    <phoneticPr fontId="3" type="noConversion"/>
  </si>
  <si>
    <t>페이네스트</t>
    <phoneticPr fontId="3" type="noConversion"/>
  </si>
  <si>
    <t>인당 월 20만원 (월 300만원)</t>
    <phoneticPr fontId="3" type="noConversion"/>
  </si>
  <si>
    <t>정선미</t>
    <phoneticPr fontId="3" type="noConversion"/>
  </si>
  <si>
    <t>010-8984-2389</t>
    <phoneticPr fontId="3" type="noConversion"/>
  </si>
  <si>
    <t>sm.jung@paynest.co.kr</t>
    <phoneticPr fontId="3" type="noConversion"/>
  </si>
  <si>
    <t>마쿼트코리아</t>
    <phoneticPr fontId="3" type="noConversion"/>
  </si>
  <si>
    <t>역삼</t>
    <phoneticPr fontId="3" type="noConversion"/>
  </si>
  <si>
    <t>인당 일 12,000원 (월 530만)</t>
    <phoneticPr fontId="3" type="noConversion"/>
  </si>
  <si>
    <t>김가현</t>
    <phoneticPr fontId="3" type="noConversion"/>
  </si>
  <si>
    <t>010-5924-1322</t>
    <phoneticPr fontId="3" type="noConversion"/>
  </si>
  <si>
    <t>KaHyun.Kim@marquardt.com</t>
    <phoneticPr fontId="3" type="noConversion"/>
  </si>
  <si>
    <t>티씨씨아이엔에스</t>
    <phoneticPr fontId="3" type="noConversion"/>
  </si>
  <si>
    <t>중구</t>
    <phoneticPr fontId="3" type="noConversion"/>
  </si>
  <si>
    <t>직원 별 포인트 차등지급 (연 2,000만)</t>
    <phoneticPr fontId="3" type="noConversion"/>
  </si>
  <si>
    <t>박지혜</t>
    <phoneticPr fontId="3" type="noConversion"/>
  </si>
  <si>
    <t>010-4029-0122</t>
    <phoneticPr fontId="3" type="noConversion"/>
  </si>
  <si>
    <t>jihye@tccins.co.kr</t>
    <phoneticPr fontId="3" type="noConversion"/>
  </si>
  <si>
    <t>인당 월 20만원 (월 80만원)</t>
    <phoneticPr fontId="3" type="noConversion"/>
  </si>
  <si>
    <t>박미란</t>
    <phoneticPr fontId="3" type="noConversion"/>
  </si>
  <si>
    <t>010-3603-3972</t>
    <phoneticPr fontId="3" type="noConversion"/>
  </si>
  <si>
    <t>info@myv.co.kr</t>
    <phoneticPr fontId="3" type="noConversion"/>
  </si>
  <si>
    <t>알파브릿지</t>
    <phoneticPr fontId="3" type="noConversion"/>
  </si>
  <si>
    <t>장성애</t>
    <phoneticPr fontId="3" type="noConversion"/>
  </si>
  <si>
    <t>010-4884-4814</t>
    <phoneticPr fontId="3" type="noConversion"/>
  </si>
  <si>
    <t>a.jang@alphabridge.co.kr</t>
    <phoneticPr fontId="3" type="noConversion"/>
  </si>
  <si>
    <t>나모</t>
    <phoneticPr fontId="3" type="noConversion"/>
  </si>
  <si>
    <t>식권 인당 일 8천원(월 240만) + 복지포인트 연 50~100만원 지급 (연 1천만)</t>
    <phoneticPr fontId="3" type="noConversion"/>
  </si>
  <si>
    <t>원하은</t>
    <phoneticPr fontId="3" type="noConversion"/>
  </si>
  <si>
    <t>010-3342-1733</t>
    <phoneticPr fontId="3" type="noConversion"/>
  </si>
  <si>
    <t>namoint@namoad.co.kr</t>
    <phoneticPr fontId="3" type="noConversion"/>
  </si>
  <si>
    <t>인당 월 5만원 (연 1,200만원)</t>
    <phoneticPr fontId="3" type="noConversion"/>
  </si>
  <si>
    <t>송은주</t>
    <phoneticPr fontId="3" type="noConversion"/>
  </si>
  <si>
    <t>010-6854-20443</t>
    <phoneticPr fontId="3" type="noConversion"/>
  </si>
  <si>
    <t>leap0259@take-leap.com</t>
    <phoneticPr fontId="3" type="noConversion"/>
  </si>
  <si>
    <t>인당 연 10만원 / 생일 5만원, 명절 5만원 (연 1,200만원)</t>
    <phoneticPr fontId="3" type="noConversion"/>
  </si>
  <si>
    <t>유덕봉</t>
    <phoneticPr fontId="3" type="noConversion"/>
  </si>
  <si>
    <t>010-3287-7257</t>
    <phoneticPr fontId="3" type="noConversion"/>
  </si>
  <si>
    <t>dbyu221002@emiinc.co.kr</t>
    <phoneticPr fontId="3" type="noConversion"/>
  </si>
  <si>
    <t>조해상</t>
    <phoneticPr fontId="3" type="noConversion"/>
  </si>
  <si>
    <t>010-8315-4979</t>
    <phoneticPr fontId="3" type="noConversion"/>
  </si>
  <si>
    <t>wbcmuaythai@nate.com</t>
    <phoneticPr fontId="3" type="noConversion"/>
  </si>
  <si>
    <t>두꺼비세상</t>
    <phoneticPr fontId="3" type="noConversion"/>
  </si>
  <si>
    <t>구로,부산 중식10,000원 석식 15,000원 -&gt; 3월 내 의사결정 예정</t>
    <phoneticPr fontId="3" type="noConversion"/>
  </si>
  <si>
    <t>이수정</t>
    <phoneticPr fontId="3" type="noConversion"/>
  </si>
  <si>
    <t>010-2927-7208</t>
    <phoneticPr fontId="3" type="noConversion"/>
  </si>
  <si>
    <t>sjlee@duse.co.kr</t>
    <phoneticPr fontId="3" type="noConversion"/>
  </si>
  <si>
    <t>식권 인당 월 20만원(월 900만) + 복지포인트 연 200만(연 9,000만)</t>
    <phoneticPr fontId="3" type="noConversion"/>
  </si>
  <si>
    <t>송유진</t>
    <phoneticPr fontId="3" type="noConversion"/>
  </si>
  <si>
    <t>010-3309-1309</t>
    <phoneticPr fontId="3" type="noConversion"/>
  </si>
  <si>
    <t>eugenie@piedpixels.com</t>
    <phoneticPr fontId="3" type="noConversion"/>
  </si>
  <si>
    <t>슈퍼센트</t>
    <phoneticPr fontId="3" type="noConversion"/>
  </si>
  <si>
    <t>잠실</t>
    <phoneticPr fontId="3" type="noConversion"/>
  </si>
  <si>
    <t>인당 일 1만원(월 2,000만), 잠실역 인근 페이코 가맹점 부족하여 도입 실패</t>
    <phoneticPr fontId="3" type="noConversion"/>
  </si>
  <si>
    <t>홍성헌</t>
    <phoneticPr fontId="3" type="noConversion"/>
  </si>
  <si>
    <t>010-6256-7859</t>
    <phoneticPr fontId="3" type="noConversion"/>
  </si>
  <si>
    <t>fanta@supercent.io</t>
    <phoneticPr fontId="3" type="noConversion"/>
  </si>
  <si>
    <t>한국언론진흥재단</t>
    <phoneticPr fontId="3" type="noConversion"/>
  </si>
  <si>
    <t>시청역</t>
    <phoneticPr fontId="3" type="noConversion"/>
  </si>
  <si>
    <t>상세 정책 미정, 초도 검토 중</t>
    <phoneticPr fontId="3" type="noConversion"/>
  </si>
  <si>
    <t>유재현</t>
    <phoneticPr fontId="3" type="noConversion"/>
  </si>
  <si>
    <t>010-2295-4298</t>
    <phoneticPr fontId="3" type="noConversion"/>
  </si>
  <si>
    <t>jay@Kpf.or.kr</t>
    <phoneticPr fontId="3" type="noConversion"/>
  </si>
  <si>
    <t>인당 월 5만원 (연 150만)</t>
    <phoneticPr fontId="3" type="noConversion"/>
  </si>
  <si>
    <t>이혜림</t>
    <phoneticPr fontId="3" type="noConversion"/>
  </si>
  <si>
    <t>010-9274-0781</t>
    <phoneticPr fontId="3" type="noConversion"/>
  </si>
  <si>
    <t>resa0895@hlbglobal.co.kr</t>
    <phoneticPr fontId="3" type="noConversion"/>
  </si>
  <si>
    <t>근속년수 기준 차등지급 (연 1,000만)</t>
    <phoneticPr fontId="3" type="noConversion"/>
  </si>
  <si>
    <t>최하연</t>
    <phoneticPr fontId="3" type="noConversion"/>
  </si>
  <si>
    <t>010-7171-8538</t>
    <phoneticPr fontId="3" type="noConversion"/>
  </si>
  <si>
    <t>hayeon@bridgegroup.co.kr</t>
    <phoneticPr fontId="3" type="noConversion"/>
  </si>
  <si>
    <t>몬드리안 호텔</t>
    <phoneticPr fontId="3" type="noConversion"/>
  </si>
  <si>
    <t>이태원</t>
    <phoneticPr fontId="3" type="noConversion"/>
  </si>
  <si>
    <t>인당 연 50만원 (연 6천만원)</t>
    <phoneticPr fontId="3" type="noConversion"/>
  </si>
  <si>
    <t>이예나</t>
    <phoneticPr fontId="3" type="noConversion"/>
  </si>
  <si>
    <t>02-2076-2121</t>
    <phoneticPr fontId="3" type="noConversion"/>
  </si>
  <si>
    <t>ena.LEE@mondrianhotels.com</t>
    <phoneticPr fontId="3" type="noConversion"/>
  </si>
  <si>
    <t>미라콤아이앤씨</t>
    <phoneticPr fontId="3" type="noConversion"/>
  </si>
  <si>
    <t>강동 등</t>
    <phoneticPr fontId="3" type="noConversion"/>
  </si>
  <si>
    <t>지점 별 지원 금액 상이 (월 1.5억), 식권대장 전환 검토 중</t>
    <phoneticPr fontId="3" type="noConversion"/>
  </si>
  <si>
    <t>장영진</t>
    <phoneticPr fontId="3" type="noConversion"/>
  </si>
  <si>
    <t>010-4756-0999</t>
    <phoneticPr fontId="3" type="noConversion"/>
  </si>
  <si>
    <t>yj1000.jang@miracom-inc.com</t>
    <phoneticPr fontId="3" type="noConversion"/>
  </si>
  <si>
    <t>대건소프트</t>
    <phoneticPr fontId="3" type="noConversion"/>
  </si>
  <si>
    <t>김희재</t>
    <phoneticPr fontId="3" type="noConversion"/>
  </si>
  <si>
    <t>010-4582-9738</t>
    <phoneticPr fontId="3" type="noConversion"/>
  </si>
  <si>
    <t>khj@daegunsoft.com</t>
    <phoneticPr fontId="3" type="noConversion"/>
  </si>
  <si>
    <t>이베이재팬</t>
    <phoneticPr fontId="3" type="noConversion"/>
  </si>
  <si>
    <t>인당 연 215만원 (연 약 3.9억)</t>
    <phoneticPr fontId="3" type="noConversion"/>
  </si>
  <si>
    <t>권다영</t>
    <phoneticPr fontId="3" type="noConversion"/>
  </si>
  <si>
    <t>010-9604-8469</t>
    <phoneticPr fontId="3" type="noConversion"/>
  </si>
  <si>
    <t>dayokwon@ebay.com</t>
    <phoneticPr fontId="3" type="noConversion"/>
  </si>
  <si>
    <t>이브이메드텍</t>
    <phoneticPr fontId="3" type="noConversion"/>
  </si>
  <si>
    <t>식권대장 도입 / 인당 월 20만원 (월 120만원)</t>
    <phoneticPr fontId="3" type="noConversion"/>
  </si>
  <si>
    <t>김성수</t>
    <phoneticPr fontId="3" type="noConversion"/>
  </si>
  <si>
    <t>010-7515-0226</t>
    <phoneticPr fontId="3" type="noConversion"/>
  </si>
  <si>
    <t>accounting@evmedtech.com</t>
    <phoneticPr fontId="3" type="noConversion"/>
  </si>
  <si>
    <t>찰스리버래보래토리즈코리아</t>
    <phoneticPr fontId="3" type="noConversion"/>
  </si>
  <si>
    <t>인당 월 15만원 (연 7,200만)</t>
    <phoneticPr fontId="3" type="noConversion"/>
  </si>
  <si>
    <t>허준</t>
    <phoneticPr fontId="3" type="noConversion"/>
  </si>
  <si>
    <t>010-8814-7520</t>
    <phoneticPr fontId="3" type="noConversion"/>
  </si>
  <si>
    <t xml:space="preserve"> jun.hur@crl.com</t>
    <phoneticPr fontId="3" type="noConversion"/>
  </si>
  <si>
    <t>나노코</t>
    <phoneticPr fontId="3" type="noConversion"/>
  </si>
  <si>
    <t>인당 연 60만원 (연 3,600만)</t>
    <phoneticPr fontId="3" type="noConversion"/>
  </si>
  <si>
    <t>이정수</t>
    <phoneticPr fontId="3" type="noConversion"/>
  </si>
  <si>
    <t>010-8586-7745</t>
    <phoneticPr fontId="3" type="noConversion"/>
  </si>
  <si>
    <t>jeongsu@nanokor.com</t>
    <phoneticPr fontId="3" type="noConversion"/>
  </si>
  <si>
    <t>씨앤유글로벌</t>
    <phoneticPr fontId="3" type="noConversion"/>
  </si>
  <si>
    <t>이기은</t>
    <phoneticPr fontId="3" type="noConversion"/>
  </si>
  <si>
    <t>031-698-2354</t>
    <phoneticPr fontId="3" type="noConversion"/>
  </si>
  <si>
    <t xml:space="preserve">gelee@cnuglobal.com
</t>
    <phoneticPr fontId="3" type="noConversion"/>
  </si>
  <si>
    <t>메디칼파크</t>
    <phoneticPr fontId="3" type="noConversion"/>
  </si>
  <si>
    <t>용인</t>
    <phoneticPr fontId="3" type="noConversion"/>
  </si>
  <si>
    <t>빈태현</t>
    <phoneticPr fontId="3" type="noConversion"/>
  </si>
  <si>
    <t>070 4800 0290</t>
    <phoneticPr fontId="3" type="noConversion"/>
  </si>
  <si>
    <t>taehyun.been@medicalpark.co.kr</t>
    <phoneticPr fontId="3" type="noConversion"/>
  </si>
  <si>
    <t>에이지소프트</t>
    <phoneticPr fontId="3" type="noConversion"/>
  </si>
  <si>
    <t>김기현</t>
    <phoneticPr fontId="3" type="noConversion"/>
  </si>
  <si>
    <t>010-9173-1921</t>
    <phoneticPr fontId="3" type="noConversion"/>
  </si>
  <si>
    <t>kihyun.kim@agsoft.kr</t>
    <phoneticPr fontId="3" type="noConversion"/>
  </si>
  <si>
    <t>메트로안과</t>
    <phoneticPr fontId="3" type="noConversion"/>
  </si>
  <si>
    <t>대구</t>
    <phoneticPr fontId="3" type="noConversion"/>
  </si>
  <si>
    <t>인당 연 100만원 (연 8천만원)</t>
    <phoneticPr fontId="3" type="noConversion"/>
  </si>
  <si>
    <t>이호영</t>
    <phoneticPr fontId="3" type="noConversion"/>
  </si>
  <si>
    <t>010-6670-2906</t>
    <phoneticPr fontId="3" type="noConversion"/>
  </si>
  <si>
    <t>LHY_181@metroeye.co.kr</t>
    <phoneticPr fontId="3" type="noConversion"/>
  </si>
  <si>
    <t>상세 정책 미정, 정책 재설정 중</t>
    <phoneticPr fontId="3" type="noConversion"/>
  </si>
  <si>
    <t>박해성</t>
    <phoneticPr fontId="3" type="noConversion"/>
  </si>
  <si>
    <t>010-4791-4528</t>
    <phoneticPr fontId="3" type="noConversion"/>
  </si>
  <si>
    <t>roam48@naver.com</t>
    <phoneticPr fontId="3" type="noConversion"/>
  </si>
  <si>
    <t>부산시설공단</t>
    <phoneticPr fontId="3" type="noConversion"/>
  </si>
  <si>
    <t>부산</t>
    <phoneticPr fontId="3" type="noConversion"/>
  </si>
  <si>
    <t>인당 연 120만원 (연 17억), E-제너두 전환 검토 중</t>
    <phoneticPr fontId="3" type="noConversion"/>
  </si>
  <si>
    <t>변상지</t>
    <phoneticPr fontId="3" type="noConversion"/>
  </si>
  <si>
    <t>051-860-7665</t>
    <phoneticPr fontId="3" type="noConversion"/>
  </si>
  <si>
    <t>bsj204@bisco.or.kr</t>
    <phoneticPr fontId="3" type="noConversion"/>
  </si>
  <si>
    <t>재단법인 서울디지털재단</t>
    <phoneticPr fontId="3" type="noConversion"/>
  </si>
  <si>
    <t xml:space="preserve">야근식대 일 9,000원 지급 중 </t>
    <phoneticPr fontId="3" type="noConversion"/>
  </si>
  <si>
    <t>류진현</t>
    <phoneticPr fontId="3" type="noConversion"/>
  </si>
  <si>
    <t>010-2526-4251</t>
    <phoneticPr fontId="3" type="noConversion"/>
  </si>
  <si>
    <t xml:space="preserve"> jh0220@sdf.seoul.kr</t>
    <phoneticPr fontId="3" type="noConversion"/>
  </si>
  <si>
    <t>모레</t>
    <phoneticPr fontId="3" type="noConversion"/>
  </si>
  <si>
    <t>조혜연</t>
    <phoneticPr fontId="3" type="noConversion"/>
  </si>
  <si>
    <t>010-4664-2089</t>
    <phoneticPr fontId="3" type="noConversion"/>
  </si>
  <si>
    <t>hyeyeon.cho@moreh.io</t>
    <phoneticPr fontId="3" type="noConversion"/>
  </si>
  <si>
    <t>라온글로벌</t>
    <phoneticPr fontId="3" type="noConversion"/>
  </si>
  <si>
    <t>인당 분기별 30만원 (연 2,500만원)</t>
    <phoneticPr fontId="3" type="noConversion"/>
  </si>
  <si>
    <t>지소영</t>
    <phoneticPr fontId="3" type="noConversion"/>
  </si>
  <si>
    <t>010-6852-5584</t>
    <phoneticPr fontId="3" type="noConversion"/>
  </si>
  <si>
    <t>syji2@raonglobal.co.kr</t>
    <phoneticPr fontId="3" type="noConversion"/>
  </si>
  <si>
    <t>투커</t>
    <phoneticPr fontId="3" type="noConversion"/>
  </si>
  <si>
    <t>인당 월 10만원 (연 600만원)</t>
    <phoneticPr fontId="3" type="noConversion"/>
  </si>
  <si>
    <t>서유환</t>
    <phoneticPr fontId="3" type="noConversion"/>
  </si>
  <si>
    <t>010-7403-2589</t>
    <phoneticPr fontId="3" type="noConversion"/>
  </si>
  <si>
    <t>yhwan@tooker.co.kr</t>
    <phoneticPr fontId="3" type="noConversion"/>
  </si>
  <si>
    <t>스크럼코리아</t>
    <phoneticPr fontId="3" type="noConversion"/>
  </si>
  <si>
    <t>인당 연 30만원 (연 240만원)</t>
    <phoneticPr fontId="3" type="noConversion"/>
  </si>
  <si>
    <t>박은선</t>
    <phoneticPr fontId="3" type="noConversion"/>
  </si>
  <si>
    <t>espark@scrumkorea.co.kr</t>
    <phoneticPr fontId="3" type="noConversion"/>
  </si>
  <si>
    <t>기흥</t>
    <phoneticPr fontId="3" type="noConversion"/>
  </si>
  <si>
    <t>모아주택산업</t>
    <phoneticPr fontId="3" type="noConversion"/>
  </si>
  <si>
    <t>인당 일 7천원 (월 280만원)</t>
    <phoneticPr fontId="3" type="noConversion"/>
  </si>
  <si>
    <t>박영규</t>
    <phoneticPr fontId="3" type="noConversion"/>
  </si>
  <si>
    <t>010-2426-5354</t>
    <phoneticPr fontId="3" type="noConversion"/>
  </si>
  <si>
    <t>thomas@moa21.co.kr</t>
    <phoneticPr fontId="3" type="noConversion"/>
  </si>
  <si>
    <t>영신디엔씨</t>
    <phoneticPr fontId="3" type="noConversion"/>
  </si>
  <si>
    <t>하남</t>
    <phoneticPr fontId="3" type="noConversion"/>
  </si>
  <si>
    <t>인당 연 30만원 (연 3,900만)</t>
    <phoneticPr fontId="3" type="noConversion"/>
  </si>
  <si>
    <t>오선희</t>
    <phoneticPr fontId="3" type="noConversion"/>
  </si>
  <si>
    <t>031-8027-9652</t>
    <phoneticPr fontId="3" type="noConversion"/>
  </si>
  <si>
    <t>mmj0310@youngshine.net</t>
    <phoneticPr fontId="3" type="noConversion"/>
  </si>
  <si>
    <t>이수</t>
    <phoneticPr fontId="3" type="noConversion"/>
  </si>
  <si>
    <t>상세 정책 미정, 그룹사 통합 복지몰 구축 문의 / 계열사 추가 미팅 필요</t>
    <phoneticPr fontId="3" type="noConversion"/>
  </si>
  <si>
    <t>한주현</t>
    <phoneticPr fontId="3" type="noConversion"/>
  </si>
  <si>
    <t>010-8793-0582</t>
    <phoneticPr fontId="3" type="noConversion"/>
  </si>
  <si>
    <t>jamie@isu.co.kr</t>
    <phoneticPr fontId="3" type="noConversion"/>
  </si>
  <si>
    <t>계열사 복지현황 취합필요</t>
    <phoneticPr fontId="3" type="noConversion"/>
  </si>
  <si>
    <t>인당 연 50만원 (연 1억)</t>
    <phoneticPr fontId="3" type="noConversion"/>
  </si>
  <si>
    <t>박선영</t>
    <phoneticPr fontId="3" type="noConversion"/>
  </si>
  <si>
    <t>010-4008-2697</t>
    <phoneticPr fontId="3" type="noConversion"/>
  </si>
  <si>
    <t>sypark@mayfield.co.kr</t>
    <phoneticPr fontId="3" type="noConversion"/>
  </si>
  <si>
    <t>테오</t>
    <phoneticPr fontId="3" type="noConversion"/>
  </si>
  <si>
    <t>상암</t>
    <phoneticPr fontId="3" type="noConversion"/>
  </si>
  <si>
    <t>박신영</t>
    <phoneticPr fontId="3" type="noConversion"/>
  </si>
  <si>
    <t>010-2936-3671</t>
    <phoneticPr fontId="3" type="noConversion"/>
  </si>
  <si>
    <t>sypark@teouniverse.kr</t>
    <phoneticPr fontId="3" type="noConversion"/>
  </si>
  <si>
    <t>군포시청년공간플라잉</t>
    <phoneticPr fontId="3" type="noConversion"/>
  </si>
  <si>
    <t>군포</t>
    <phoneticPr fontId="3" type="noConversion"/>
  </si>
  <si>
    <t>인당 야근식권 9천원 (월 2~3만원)</t>
    <phoneticPr fontId="3" type="noConversion"/>
  </si>
  <si>
    <t>이민주</t>
    <phoneticPr fontId="3" type="noConversion"/>
  </si>
  <si>
    <t>010-5920-6459</t>
    <phoneticPr fontId="3" type="noConversion"/>
  </si>
  <si>
    <t>크레이버코퍼레이션</t>
    <phoneticPr fontId="3" type="noConversion"/>
  </si>
  <si>
    <t>최서정</t>
    <phoneticPr fontId="3" type="noConversion"/>
  </si>
  <si>
    <t>010-7440-7000</t>
    <phoneticPr fontId="3" type="noConversion"/>
  </si>
  <si>
    <t>csj@cravercorp.com</t>
    <phoneticPr fontId="3" type="noConversion"/>
  </si>
  <si>
    <t>V&amp;MJ피부과의원</t>
    <phoneticPr fontId="3" type="noConversion"/>
  </si>
  <si>
    <t>도시락 배달 서비스 이용 중, 상세 정책 미정</t>
    <phoneticPr fontId="3" type="noConversion"/>
  </si>
  <si>
    <t>윤지현</t>
    <phoneticPr fontId="3" type="noConversion"/>
  </si>
  <si>
    <t>010-6546-1360</t>
    <phoneticPr fontId="3" type="noConversion"/>
  </si>
  <si>
    <t>ahjae88@naver.com</t>
    <phoneticPr fontId="3" type="noConversion"/>
  </si>
  <si>
    <t>인당 일 12,000원 (월 336만)</t>
    <phoneticPr fontId="3" type="noConversion"/>
  </si>
  <si>
    <t>김남형</t>
    <phoneticPr fontId="3" type="noConversion"/>
  </si>
  <si>
    <t>010-6767-8553</t>
    <phoneticPr fontId="3" type="noConversion"/>
  </si>
  <si>
    <t>rucas@demaf.kr</t>
    <phoneticPr fontId="3" type="noConversion"/>
  </si>
  <si>
    <t>코그노스피어코리아</t>
    <phoneticPr fontId="3" type="noConversion"/>
  </si>
  <si>
    <t>인당 야근식대 1만원</t>
    <phoneticPr fontId="3" type="noConversion"/>
  </si>
  <si>
    <t>김준현</t>
    <phoneticPr fontId="3" type="noConversion"/>
  </si>
  <si>
    <t>010-6557-8795</t>
    <phoneticPr fontId="3" type="noConversion"/>
  </si>
  <si>
    <t>mi_junhyun.kim@hoyoverse.com</t>
    <phoneticPr fontId="3" type="noConversion"/>
  </si>
  <si>
    <t>강남진성형외과</t>
    <phoneticPr fontId="3" type="noConversion"/>
  </si>
  <si>
    <t>인당 일 1만원 (월 100만원), 식신 이용 중</t>
    <phoneticPr fontId="3" type="noConversion"/>
  </si>
  <si>
    <t>이근하</t>
    <phoneticPr fontId="3" type="noConversion"/>
  </si>
  <si>
    <t>010-9698-1456</t>
    <phoneticPr fontId="3" type="noConversion"/>
  </si>
  <si>
    <t>jinosclinic120@naver.com</t>
    <phoneticPr fontId="3" type="noConversion"/>
  </si>
  <si>
    <t>튜링바이오</t>
    <phoneticPr fontId="3" type="noConversion"/>
  </si>
  <si>
    <t>인당 일 9,000원 지원 (월 300만)</t>
    <phoneticPr fontId="3" type="noConversion"/>
  </si>
  <si>
    <t>김신애</t>
    <phoneticPr fontId="3" type="noConversion"/>
  </si>
  <si>
    <t>010-2849-4968</t>
    <phoneticPr fontId="3" type="noConversion"/>
  </si>
  <si>
    <t>sarah.kim@turingbio.com</t>
    <phoneticPr fontId="3" type="noConversion"/>
  </si>
  <si>
    <t>오준환</t>
    <phoneticPr fontId="3" type="noConversion"/>
  </si>
  <si>
    <t>010-8887-1908</t>
    <phoneticPr fontId="3" type="noConversion"/>
  </si>
  <si>
    <t>joonhwan.oh@cubox.ai</t>
    <phoneticPr fontId="3" type="noConversion"/>
  </si>
  <si>
    <t>명절, 생일자 상품권 페이코 전환 검토 중</t>
    <phoneticPr fontId="3" type="noConversion"/>
  </si>
  <si>
    <t>양형모</t>
    <phoneticPr fontId="3" type="noConversion"/>
  </si>
  <si>
    <t>010-7282-2652</t>
    <phoneticPr fontId="3" type="noConversion"/>
  </si>
  <si>
    <t>franz@gridwiz.com</t>
    <phoneticPr fontId="3" type="noConversion"/>
  </si>
  <si>
    <t>바른식당</t>
    <phoneticPr fontId="3" type="noConversion"/>
  </si>
  <si>
    <t>화성</t>
    <phoneticPr fontId="3" type="noConversion"/>
  </si>
  <si>
    <t>월 300~1,000만원 상여포인트 지급 예정</t>
    <phoneticPr fontId="3" type="noConversion"/>
  </si>
  <si>
    <t>김서현</t>
    <phoneticPr fontId="3" type="noConversion"/>
  </si>
  <si>
    <t>010-7723-5916</t>
    <phoneticPr fontId="3" type="noConversion"/>
  </si>
  <si>
    <t>bfr.notify@gmail.com</t>
    <phoneticPr fontId="3" type="noConversion"/>
  </si>
  <si>
    <t>화요</t>
    <phoneticPr fontId="3" type="noConversion"/>
  </si>
  <si>
    <t>중식대 1만원 페이코 전환 검토 중. 복지포인트 추가 검토</t>
    <phoneticPr fontId="3" type="noConversion"/>
  </si>
  <si>
    <t>박승건</t>
    <phoneticPr fontId="3" type="noConversion"/>
  </si>
  <si>
    <t>010-4702-2598</t>
    <phoneticPr fontId="3" type="noConversion"/>
  </si>
  <si>
    <t>seungun90@gkwangjuyo.com</t>
    <phoneticPr fontId="3" type="noConversion"/>
  </si>
  <si>
    <t>인당 월 5만원 복지포인트 지급</t>
    <phoneticPr fontId="3" type="noConversion"/>
  </si>
  <si>
    <t>전예은</t>
    <phoneticPr fontId="3" type="noConversion"/>
  </si>
  <si>
    <t>010-4541-1879</t>
    <phoneticPr fontId="3" type="noConversion"/>
  </si>
  <si>
    <t>tkznfk1879@broadwave.co.kr</t>
    <phoneticPr fontId="3" type="noConversion"/>
  </si>
  <si>
    <t>피알앤디컴퍼니</t>
    <phoneticPr fontId="3" type="noConversion"/>
  </si>
  <si>
    <t>인당 월 20만원 복지포인트 도입 검토 중 (코나비즈 비딩 중)</t>
    <phoneticPr fontId="3" type="noConversion"/>
  </si>
  <si>
    <t>박형근</t>
    <phoneticPr fontId="3" type="noConversion"/>
  </si>
  <si>
    <t>010-6474-5646</t>
    <phoneticPr fontId="3" type="noConversion"/>
  </si>
  <si>
    <t>hank@prnd.co.kr</t>
    <phoneticPr fontId="3" type="noConversion"/>
  </si>
  <si>
    <t>브라이트온</t>
    <phoneticPr fontId="3" type="noConversion"/>
  </si>
  <si>
    <t>인당 월 20만원 식대 지급</t>
    <phoneticPr fontId="3" type="noConversion"/>
  </si>
  <si>
    <t>정용준</t>
    <phoneticPr fontId="3" type="noConversion"/>
  </si>
  <si>
    <t>010-8397-0011</t>
    <phoneticPr fontId="3" type="noConversion"/>
  </si>
  <si>
    <t>brighton.yourway@gmail.com</t>
    <phoneticPr fontId="3" type="noConversion"/>
  </si>
  <si>
    <t>한국경영인증원</t>
    <phoneticPr fontId="3" type="noConversion"/>
  </si>
  <si>
    <t>영등포</t>
    <phoneticPr fontId="3" type="noConversion"/>
  </si>
  <si>
    <t>교육생 대상 일 9천원 중식 지원 (월 100만원)</t>
    <phoneticPr fontId="3" type="noConversion"/>
  </si>
  <si>
    <t>이민지</t>
    <phoneticPr fontId="3" type="noConversion"/>
  </si>
  <si>
    <t>010-2447-4462</t>
    <phoneticPr fontId="3" type="noConversion"/>
  </si>
  <si>
    <t>mjlee@ikmr.co.kr</t>
    <phoneticPr fontId="3" type="noConversion"/>
  </si>
  <si>
    <t>미리디</t>
    <phoneticPr fontId="3" type="noConversion"/>
  </si>
  <si>
    <t>상세 정책 미정, 식권 추가 영업 진행 예정</t>
    <phoneticPr fontId="3" type="noConversion"/>
  </si>
  <si>
    <t>김나현</t>
    <phoneticPr fontId="3" type="noConversion"/>
  </si>
  <si>
    <t>010-2426-5801</t>
    <phoneticPr fontId="3" type="noConversion"/>
  </si>
  <si>
    <t>nhkim01@miridih.com</t>
    <phoneticPr fontId="3" type="noConversion"/>
  </si>
  <si>
    <t>바론</t>
    <phoneticPr fontId="3" type="noConversion"/>
  </si>
  <si>
    <t>관악</t>
    <phoneticPr fontId="3" type="noConversion"/>
  </si>
  <si>
    <t>인당 상여 포인트 지급 (총합 연 1천만원)</t>
    <phoneticPr fontId="3" type="noConversion"/>
  </si>
  <si>
    <t>이지은</t>
    <phoneticPr fontId="3" type="noConversion"/>
  </si>
  <si>
    <t>010-3007-8864</t>
    <phoneticPr fontId="3" type="noConversion"/>
  </si>
  <si>
    <t>jelee@baron-global.co.kr</t>
    <phoneticPr fontId="3" type="noConversion"/>
  </si>
  <si>
    <t>중용유통</t>
    <phoneticPr fontId="3" type="noConversion"/>
  </si>
  <si>
    <t>경기 광주</t>
    <phoneticPr fontId="3" type="noConversion"/>
  </si>
  <si>
    <t>신혜경</t>
    <phoneticPr fontId="3" type="noConversion"/>
  </si>
  <si>
    <t>010-2432-5733</t>
    <phoneticPr fontId="3" type="noConversion"/>
  </si>
  <si>
    <t>shinhkss@naver.com</t>
    <phoneticPr fontId="3" type="noConversion"/>
  </si>
  <si>
    <t>식권대장 전환 검토 중 (월 4천만)</t>
    <phoneticPr fontId="3" type="noConversion"/>
  </si>
  <si>
    <t>윤성식</t>
    <phoneticPr fontId="3" type="noConversion"/>
  </si>
  <si>
    <t>010-5048-8843</t>
    <phoneticPr fontId="3" type="noConversion"/>
  </si>
  <si>
    <t>seongsik.yun@payhere.in</t>
    <phoneticPr fontId="3" type="noConversion"/>
  </si>
  <si>
    <t>한국선주상호보험조합</t>
    <phoneticPr fontId="3" type="noConversion"/>
  </si>
  <si>
    <t>임수진</t>
    <phoneticPr fontId="3" type="noConversion"/>
  </si>
  <si>
    <t>02-3701-6863</t>
    <phoneticPr fontId="3" type="noConversion"/>
  </si>
  <si>
    <t>sjlim@kpiclub.or.kr</t>
    <phoneticPr fontId="3" type="noConversion"/>
  </si>
  <si>
    <t>보이저</t>
    <phoneticPr fontId="3" type="noConversion"/>
  </si>
  <si>
    <t>인당 일 1만원 중식 지원 (월 2천만)</t>
    <phoneticPr fontId="3" type="noConversion"/>
  </si>
  <si>
    <t>문혜진</t>
    <phoneticPr fontId="3" type="noConversion"/>
  </si>
  <si>
    <t>010-9362-8475</t>
    <phoneticPr fontId="3" type="noConversion"/>
  </si>
  <si>
    <t>hr@voyagergames.gg</t>
    <phoneticPr fontId="3" type="noConversion"/>
  </si>
  <si>
    <t>김병호</t>
    <phoneticPr fontId="3" type="noConversion"/>
  </si>
  <si>
    <t>010-2266-2046</t>
    <phoneticPr fontId="3" type="noConversion"/>
  </si>
  <si>
    <t>kbh@saraminhs.co.kr</t>
    <phoneticPr fontId="3" type="noConversion"/>
  </si>
  <si>
    <t>순녹</t>
    <phoneticPr fontId="3" type="noConversion"/>
  </si>
  <si>
    <t>상세 정책 미정, 확정 시 하반기 도입 예정</t>
    <phoneticPr fontId="3" type="noConversion"/>
  </si>
  <si>
    <t>강려원</t>
    <phoneticPr fontId="3" type="noConversion"/>
  </si>
  <si>
    <t>070-4099-5231</t>
    <phoneticPr fontId="3" type="noConversion"/>
  </si>
  <si>
    <t>ryeowon@soonnoc.com</t>
    <phoneticPr fontId="3" type="noConversion"/>
  </si>
  <si>
    <t>발렉스서비스</t>
    <phoneticPr fontId="3" type="noConversion"/>
  </si>
  <si>
    <t>상세 정책 미정, 복지몰 구축 니즈 존재</t>
    <phoneticPr fontId="3" type="noConversion"/>
  </si>
  <si>
    <t>김진우</t>
    <phoneticPr fontId="3" type="noConversion"/>
  </si>
  <si>
    <t>010-9833-6411</t>
    <phoneticPr fontId="3" type="noConversion"/>
  </si>
  <si>
    <t>kimjw@valexservice.com</t>
    <phoneticPr fontId="3" type="noConversion"/>
  </si>
  <si>
    <t>리프레스</t>
    <phoneticPr fontId="3" type="noConversion"/>
  </si>
  <si>
    <t>식권대장 전환 검토 중 (월 70만원)</t>
    <phoneticPr fontId="3" type="noConversion"/>
  </si>
  <si>
    <t>정은주</t>
    <phoneticPr fontId="3" type="noConversion"/>
  </si>
  <si>
    <t>010-8790-5770</t>
    <phoneticPr fontId="3" type="noConversion"/>
  </si>
  <si>
    <t>choco@topdaily.co.kr</t>
    <phoneticPr fontId="3" type="noConversion"/>
  </si>
  <si>
    <t>사회혁신기업더함</t>
    <phoneticPr fontId="3" type="noConversion"/>
  </si>
  <si>
    <t>인당 연 45만원 지급 (연 630만원)</t>
    <phoneticPr fontId="3" type="noConversion"/>
  </si>
  <si>
    <t>박재영</t>
    <phoneticPr fontId="3" type="noConversion"/>
  </si>
  <si>
    <t>010-9978-8569</t>
    <phoneticPr fontId="3" type="noConversion"/>
  </si>
  <si>
    <t>jaeyoung.park@wdh.kr</t>
    <phoneticPr fontId="3" type="noConversion"/>
  </si>
  <si>
    <t>아이아라</t>
    <phoneticPr fontId="3" type="noConversion"/>
  </si>
  <si>
    <t>인당 석식 11,000원 지급 중 (식권대장 / 월 100만원)</t>
    <phoneticPr fontId="3" type="noConversion"/>
  </si>
  <si>
    <t>김혜신</t>
    <phoneticPr fontId="3" type="noConversion"/>
  </si>
  <si>
    <t>02-2052-7880</t>
    <phoneticPr fontId="3" type="noConversion"/>
  </si>
  <si>
    <t>shron0904@aiaracorp.com</t>
    <phoneticPr fontId="3" type="noConversion"/>
  </si>
  <si>
    <t>이지티엠</t>
    <phoneticPr fontId="3" type="noConversion"/>
  </si>
  <si>
    <t>인당 일 12,000원 지급 중 (장부작성 / 월 500만원)</t>
    <phoneticPr fontId="3" type="noConversion"/>
  </si>
  <si>
    <t>박인호</t>
    <phoneticPr fontId="3" type="noConversion"/>
  </si>
  <si>
    <t>010-5156-7735</t>
    <phoneticPr fontId="3" type="noConversion"/>
  </si>
  <si>
    <t>inho.park@egtm.co.kr</t>
    <phoneticPr fontId="3" type="noConversion"/>
  </si>
  <si>
    <t>명성이앤티</t>
    <phoneticPr fontId="3" type="noConversion"/>
  </si>
  <si>
    <t>청주</t>
    <phoneticPr fontId="3" type="noConversion"/>
  </si>
  <si>
    <t>인당 월 25만원 지급 (연 1억 5천)</t>
    <phoneticPr fontId="3" type="noConversion"/>
  </si>
  <si>
    <t>임새얀</t>
    <phoneticPr fontId="3" type="noConversion"/>
  </si>
  <si>
    <t>010-8793-2890</t>
    <phoneticPr fontId="3" type="noConversion"/>
  </si>
  <si>
    <t>얀의원</t>
    <phoneticPr fontId="3" type="noConversion"/>
  </si>
  <si>
    <t>임두수</t>
    <phoneticPr fontId="3" type="noConversion"/>
  </si>
  <si>
    <t>010-4441-2418</t>
    <phoneticPr fontId="3" type="noConversion"/>
  </si>
  <si>
    <t>limdusu83@gmail.com</t>
    <phoneticPr fontId="3" type="noConversion"/>
  </si>
  <si>
    <t>벽산</t>
    <phoneticPr fontId="3" type="noConversion"/>
  </si>
  <si>
    <t>인당 연 100만원 지급 검토 중 (연 3억)</t>
    <phoneticPr fontId="3" type="noConversion"/>
  </si>
  <si>
    <t>이종원</t>
    <phoneticPr fontId="3" type="noConversion"/>
  </si>
  <si>
    <t>010-8544-6383</t>
    <phoneticPr fontId="3" type="noConversion"/>
  </si>
  <si>
    <t>jwl113@bsco.co.kr</t>
    <phoneticPr fontId="3" type="noConversion"/>
  </si>
  <si>
    <t>베어팜주식회사</t>
    <phoneticPr fontId="3" type="noConversion"/>
  </si>
  <si>
    <t>홍현옥</t>
    <phoneticPr fontId="3" type="noConversion"/>
  </si>
  <si>
    <t>010-7591-1598</t>
    <phoneticPr fontId="3" type="noConversion"/>
  </si>
  <si>
    <t>bear2782828@gmail.com</t>
    <phoneticPr fontId="3" type="noConversion"/>
  </si>
  <si>
    <t>태원건설산업</t>
    <phoneticPr fontId="3" type="noConversion"/>
  </si>
  <si>
    <t>분기별 25만원씩 인당 연 100만원 지급 (연 7천만원)</t>
    <phoneticPr fontId="3" type="noConversion"/>
  </si>
  <si>
    <t>최민정</t>
    <phoneticPr fontId="3" type="noConversion"/>
  </si>
  <si>
    <t>044-868-6251</t>
    <phoneticPr fontId="3" type="noConversion"/>
  </si>
  <si>
    <t>c_mj01@taewoncon.com</t>
    <phoneticPr fontId="3" type="noConversion"/>
  </si>
  <si>
    <t>티르티르</t>
    <phoneticPr fontId="3" type="noConversion"/>
  </si>
  <si>
    <t>인당 연 400만원 (연 6억)</t>
    <phoneticPr fontId="3" type="noConversion"/>
  </si>
  <si>
    <t>이하나</t>
    <phoneticPr fontId="3" type="noConversion"/>
  </si>
  <si>
    <t>010-4181-4864</t>
    <phoneticPr fontId="3" type="noConversion"/>
  </si>
  <si>
    <t>realhana@tirtir.co.kr</t>
    <phoneticPr fontId="3" type="noConversion"/>
  </si>
  <si>
    <t>가온칩스</t>
    <phoneticPr fontId="3" type="noConversion"/>
  </si>
  <si>
    <t>서판교</t>
    <phoneticPr fontId="3" type="noConversion"/>
  </si>
  <si>
    <t>조식 7,500원 + 석식 1만원 (월 5천만), 복지포인트 연 140만원 (연 4억)</t>
    <phoneticPr fontId="3" type="noConversion"/>
  </si>
  <si>
    <t>박예은</t>
    <phoneticPr fontId="3" type="noConversion"/>
  </si>
  <si>
    <t>010-2664-8790</t>
    <phoneticPr fontId="3" type="noConversion"/>
  </si>
  <si>
    <t>yepark@gaonchips.com</t>
    <phoneticPr fontId="3" type="noConversion"/>
  </si>
  <si>
    <t>아이지넷</t>
    <phoneticPr fontId="3" type="noConversion"/>
  </si>
  <si>
    <t>인당 일 1만원 중식 지원 (월 600만, 식권대장)</t>
    <phoneticPr fontId="3" type="noConversion"/>
  </si>
  <si>
    <t>010-8850-2974</t>
    <phoneticPr fontId="3" type="noConversion"/>
  </si>
  <si>
    <t>owen@aijinet.com</t>
    <phoneticPr fontId="3" type="noConversion"/>
  </si>
  <si>
    <t>오픈월</t>
    <phoneticPr fontId="3" type="noConversion"/>
  </si>
  <si>
    <t>오픈일자</t>
    <phoneticPr fontId="3" type="noConversion"/>
  </si>
  <si>
    <t>서비스</t>
    <phoneticPr fontId="14" type="noConversion"/>
  </si>
  <si>
    <t>인당월지급액</t>
    <phoneticPr fontId="3" type="noConversion"/>
  </si>
  <si>
    <t>예상거래액</t>
    <phoneticPr fontId="3" type="noConversion"/>
  </si>
  <si>
    <t>영업구분</t>
    <phoneticPr fontId="3" type="noConversion"/>
  </si>
  <si>
    <t>담당자</t>
    <phoneticPr fontId="3" type="noConversion"/>
  </si>
  <si>
    <t>제니엘</t>
    <phoneticPr fontId="3" type="noConversion"/>
  </si>
  <si>
    <t>인력공급및인사서비스업</t>
    <phoneticPr fontId="3" type="noConversion"/>
  </si>
  <si>
    <t>인천시</t>
    <phoneticPr fontId="3" type="noConversion"/>
  </si>
  <si>
    <t>다리소프트</t>
    <phoneticPr fontId="3" type="noConversion"/>
  </si>
  <si>
    <t>교육지원서비스업</t>
    <phoneticPr fontId="3" type="noConversion"/>
  </si>
  <si>
    <t>팀스톤</t>
    <phoneticPr fontId="3" type="noConversion"/>
  </si>
  <si>
    <t>시외버스운송업</t>
    <phoneticPr fontId="3" type="noConversion"/>
  </si>
  <si>
    <t>한유(청주지사)</t>
    <phoneticPr fontId="3" type="noConversion"/>
  </si>
  <si>
    <t>운송지원서비스업</t>
    <phoneticPr fontId="3" type="noConversion"/>
  </si>
  <si>
    <t>청주시</t>
    <phoneticPr fontId="3" type="noConversion"/>
  </si>
  <si>
    <t>정인부동산그룹</t>
    <phoneticPr fontId="3" type="noConversion"/>
  </si>
  <si>
    <t>부동산개발및공급업</t>
    <phoneticPr fontId="3" type="noConversion"/>
  </si>
  <si>
    <t>특수목적용기계제조업</t>
    <phoneticPr fontId="3" type="noConversion"/>
  </si>
  <si>
    <t>화성시</t>
    <phoneticPr fontId="3" type="noConversion"/>
  </si>
  <si>
    <t>피에스테크</t>
    <phoneticPr fontId="3" type="noConversion"/>
  </si>
  <si>
    <t>일반서적출판업</t>
    <phoneticPr fontId="3" type="noConversion"/>
  </si>
  <si>
    <t>치과의원</t>
    <phoneticPr fontId="3" type="noConversion"/>
  </si>
  <si>
    <t>연세덴티프로치과</t>
    <phoneticPr fontId="3" type="noConversion"/>
  </si>
  <si>
    <t>일반의원</t>
    <phoneticPr fontId="3" type="noConversion"/>
  </si>
  <si>
    <t>고양시</t>
    <phoneticPr fontId="3" type="noConversion"/>
  </si>
  <si>
    <t>기타스포츠시설운영업</t>
    <phoneticPr fontId="3" type="noConversion"/>
  </si>
  <si>
    <t>라디우스랩</t>
    <phoneticPr fontId="3" type="noConversion"/>
  </si>
  <si>
    <t>케이유엠</t>
    <phoneticPr fontId="3" type="noConversion"/>
  </si>
  <si>
    <t>종로구</t>
    <phoneticPr fontId="3" type="noConversion"/>
  </si>
  <si>
    <t>기타금융업</t>
    <phoneticPr fontId="3" type="noConversion"/>
  </si>
  <si>
    <t>악세서리및장신구도매업</t>
    <phoneticPr fontId="3" type="noConversion"/>
  </si>
  <si>
    <t>용인시</t>
    <phoneticPr fontId="3" type="noConversion"/>
  </si>
  <si>
    <t>컴퓨터시스템구축관리업</t>
    <phoneticPr fontId="3" type="noConversion"/>
  </si>
  <si>
    <t>관악구</t>
    <phoneticPr fontId="3" type="noConversion"/>
  </si>
  <si>
    <t>고체연료제품도매업</t>
    <phoneticPr fontId="3" type="noConversion"/>
  </si>
  <si>
    <t>물리화학생물학연구개발업</t>
    <phoneticPr fontId="3" type="noConversion"/>
  </si>
  <si>
    <t>마포구</t>
    <phoneticPr fontId="3" type="noConversion"/>
  </si>
  <si>
    <t>비주거용건물개발공급업</t>
    <phoneticPr fontId="3" type="noConversion"/>
  </si>
  <si>
    <t>남양주시</t>
    <phoneticPr fontId="3" type="noConversion"/>
  </si>
  <si>
    <t>전자부품제조업</t>
    <phoneticPr fontId="3" type="noConversion"/>
  </si>
  <si>
    <t>구미시</t>
    <phoneticPr fontId="3" type="noConversion"/>
  </si>
  <si>
    <t>플라스틱발포성형제조업</t>
    <phoneticPr fontId="3" type="noConversion"/>
  </si>
  <si>
    <t>파주시</t>
    <phoneticPr fontId="3" type="noConversion"/>
  </si>
  <si>
    <t>DB및온라인정보제공업</t>
    <phoneticPr fontId="3" type="noConversion"/>
  </si>
  <si>
    <t>양천구</t>
    <phoneticPr fontId="3" type="noConversion"/>
  </si>
  <si>
    <t>건물토목엔지니어링서비스업</t>
    <phoneticPr fontId="3" type="noConversion"/>
  </si>
  <si>
    <t>대한항공(마곡)</t>
    <phoneticPr fontId="3" type="noConversion"/>
  </si>
  <si>
    <t>인디앤드(크래프톤)</t>
    <phoneticPr fontId="3" type="noConversion"/>
  </si>
  <si>
    <t>상품권</t>
    <phoneticPr fontId="3" type="noConversion"/>
  </si>
  <si>
    <t>구로구</t>
    <phoneticPr fontId="3" type="noConversion"/>
  </si>
  <si>
    <t>증그</t>
    <phoneticPr fontId="3" type="noConversion"/>
  </si>
  <si>
    <t>전자상거래 소매 중개업</t>
    <phoneticPr fontId="3" type="noConversion"/>
  </si>
  <si>
    <t>가정용 전기기기 제조업</t>
    <phoneticPr fontId="3" type="noConversion"/>
  </si>
  <si>
    <t>대성티앤이</t>
    <phoneticPr fontId="3" type="noConversion"/>
  </si>
  <si>
    <t>시외버스 운송업</t>
    <phoneticPr fontId="3" type="noConversion"/>
  </si>
  <si>
    <t>토목설계업</t>
    <phoneticPr fontId="3" type="noConversion"/>
  </si>
  <si>
    <t>파이어웍스</t>
    <phoneticPr fontId="3" type="noConversion"/>
  </si>
  <si>
    <t>화장품 제조업</t>
    <phoneticPr fontId="3" type="noConversion"/>
  </si>
  <si>
    <t>뷰티, 미용업</t>
    <phoneticPr fontId="3" type="noConversion"/>
  </si>
  <si>
    <t>모바일게임제작</t>
    <phoneticPr fontId="3" type="noConversion"/>
  </si>
  <si>
    <t>반도체 제조용 기계 제조업</t>
    <phoneticPr fontId="3" type="noConversion"/>
  </si>
  <si>
    <t>아이지엔컴퍼니</t>
    <phoneticPr fontId="3" type="noConversion"/>
  </si>
  <si>
    <t>상품종합도매업</t>
    <phoneticPr fontId="3" type="noConversion"/>
  </si>
  <si>
    <t>서초구</t>
    <phoneticPr fontId="3" type="noConversion"/>
  </si>
  <si>
    <t>예산군행복마을네트워크</t>
    <phoneticPr fontId="3" type="noConversion"/>
  </si>
  <si>
    <t>공공기관</t>
    <phoneticPr fontId="3" type="noConversion"/>
  </si>
  <si>
    <t>안양세종의원</t>
    <phoneticPr fontId="3" type="noConversion"/>
  </si>
  <si>
    <t>종합의원</t>
    <phoneticPr fontId="3" type="noConversion"/>
  </si>
  <si>
    <t>금융플랫폼서비스업</t>
    <phoneticPr fontId="3" type="noConversion"/>
  </si>
  <si>
    <t>소프트버켓</t>
    <phoneticPr fontId="3" type="noConversion"/>
  </si>
  <si>
    <t>포털 및 기타 인터넷 정보</t>
    <phoneticPr fontId="3" type="noConversion"/>
  </si>
  <si>
    <t>양재</t>
    <phoneticPr fontId="3" type="noConversion"/>
  </si>
  <si>
    <t>티웨이항공_김포공항지점</t>
    <phoneticPr fontId="3" type="noConversion"/>
  </si>
  <si>
    <t>김포공항</t>
    <phoneticPr fontId="3" type="noConversion"/>
  </si>
  <si>
    <t>엔엑스쓰리게임즈</t>
    <phoneticPr fontId="3" type="noConversion"/>
  </si>
  <si>
    <t>게임</t>
    <phoneticPr fontId="3" type="noConversion"/>
  </si>
  <si>
    <t>골든코리아</t>
    <phoneticPr fontId="3" type="noConversion"/>
  </si>
  <si>
    <t>예스안과</t>
    <phoneticPr fontId="3" type="noConversion"/>
  </si>
  <si>
    <t>안과</t>
    <phoneticPr fontId="3" type="noConversion"/>
  </si>
  <si>
    <t>국제물류업</t>
    <phoneticPr fontId="3" type="noConversion"/>
  </si>
  <si>
    <t>서대문구</t>
    <phoneticPr fontId="3" type="noConversion"/>
  </si>
  <si>
    <t>서비스업</t>
    <phoneticPr fontId="3" type="noConversion"/>
  </si>
  <si>
    <t>채용플랫폼</t>
    <phoneticPr fontId="3" type="noConversion"/>
  </si>
  <si>
    <t>백화점유통도소매업</t>
    <phoneticPr fontId="3" type="noConversion"/>
  </si>
  <si>
    <t>하남시</t>
    <phoneticPr fontId="3" type="noConversion"/>
  </si>
  <si>
    <t>해외브랜드 소싱, 유통업</t>
    <phoneticPr fontId="3" type="noConversion"/>
  </si>
  <si>
    <t>등촌</t>
    <phoneticPr fontId="3" type="noConversion"/>
  </si>
  <si>
    <t>호텔서비스업</t>
    <phoneticPr fontId="3" type="noConversion"/>
  </si>
  <si>
    <t>찰스리버레보레토리즈코리아</t>
    <phoneticPr fontId="3" type="noConversion"/>
  </si>
  <si>
    <t>방송컨텐츠업</t>
    <phoneticPr fontId="3" type="noConversion"/>
  </si>
  <si>
    <t>섬유제조업</t>
    <phoneticPr fontId="3" type="noConversion"/>
  </si>
  <si>
    <t>생체인식시스템개발업</t>
    <phoneticPr fontId="3" type="noConversion"/>
  </si>
  <si>
    <t>위드앤씨</t>
    <phoneticPr fontId="3" type="noConversion"/>
  </si>
  <si>
    <t>전주시</t>
    <phoneticPr fontId="3" type="noConversion"/>
  </si>
  <si>
    <t>반도체부품제조업</t>
    <phoneticPr fontId="3" type="noConversion"/>
  </si>
  <si>
    <t>아산시</t>
    <phoneticPr fontId="3" type="noConversion"/>
  </si>
  <si>
    <t>에어차이나</t>
    <phoneticPr fontId="3" type="noConversion"/>
  </si>
  <si>
    <t>4월중</t>
    <phoneticPr fontId="3" type="noConversion"/>
  </si>
  <si>
    <t>아에로멕시코</t>
    <phoneticPr fontId="3" type="noConversion"/>
  </si>
  <si>
    <t>에미레이트항공</t>
    <phoneticPr fontId="3" type="noConversion"/>
  </si>
  <si>
    <t>안과의원</t>
    <phoneticPr fontId="3" type="noConversion"/>
  </si>
  <si>
    <t>아이센스비즈</t>
    <phoneticPr fontId="3" type="noConversion"/>
  </si>
  <si>
    <t>의료기기</t>
    <phoneticPr fontId="3" type="noConversion"/>
  </si>
  <si>
    <t>모바일 POS 서비스개발업</t>
    <phoneticPr fontId="3" type="noConversion"/>
  </si>
  <si>
    <t>동서식품</t>
    <phoneticPr fontId="3" type="noConversion"/>
  </si>
  <si>
    <t>커피가공업</t>
    <phoneticPr fontId="3" type="noConversion"/>
  </si>
  <si>
    <t>게임개발업</t>
    <phoneticPr fontId="3" type="noConversion"/>
  </si>
  <si>
    <t>강남진정형외과</t>
    <phoneticPr fontId="3" type="noConversion"/>
  </si>
  <si>
    <t>정형외과의원</t>
    <phoneticPr fontId="3" type="noConversion"/>
  </si>
  <si>
    <t>바른식방</t>
    <phoneticPr fontId="3" type="noConversion"/>
  </si>
  <si>
    <t>빵류제조업</t>
    <phoneticPr fontId="3" type="noConversion"/>
  </si>
  <si>
    <t>화장품도매업</t>
    <phoneticPr fontId="3" type="noConversion"/>
  </si>
  <si>
    <t>에너지솔루션공급업</t>
    <phoneticPr fontId="3" type="noConversion"/>
  </si>
  <si>
    <t>예산군</t>
    <phoneticPr fontId="3" type="noConversion"/>
  </si>
  <si>
    <t>건축물일반청소업</t>
    <phoneticPr fontId="3" type="noConversion"/>
  </si>
  <si>
    <t>ITW오토모티브코리아</t>
    <phoneticPr fontId="3" type="noConversion"/>
  </si>
  <si>
    <t>자동차부품제조업</t>
    <phoneticPr fontId="3" type="noConversion"/>
  </si>
  <si>
    <t>건물임대업</t>
    <phoneticPr fontId="3" type="noConversion"/>
  </si>
  <si>
    <t>패스트뷰</t>
    <phoneticPr fontId="3" type="noConversion"/>
  </si>
  <si>
    <t>권다현</t>
    <phoneticPr fontId="3" type="noConversion"/>
  </si>
  <si>
    <t>010-2738-7637</t>
    <phoneticPr fontId="3" type="noConversion"/>
  </si>
  <si>
    <t>kwondh@fastviewkorea.com</t>
    <phoneticPr fontId="3" type="noConversion"/>
  </si>
  <si>
    <t>조이마케팅</t>
    <phoneticPr fontId="3" type="noConversion"/>
  </si>
  <si>
    <t>고유미</t>
    <phoneticPr fontId="3" type="noConversion"/>
  </si>
  <si>
    <t>010-5255-0659</t>
    <phoneticPr fontId="3" type="noConversion"/>
  </si>
  <si>
    <t>highis2023@gmail.com</t>
    <phoneticPr fontId="3" type="noConversion"/>
  </si>
  <si>
    <t>엑토즈소프트</t>
    <phoneticPr fontId="3" type="noConversion"/>
  </si>
  <si>
    <t>인당 중식 + 석식 각 1만원 지급 (월 3,200만)</t>
    <phoneticPr fontId="3" type="noConversion"/>
  </si>
  <si>
    <t>박상언</t>
    <phoneticPr fontId="3" type="noConversion"/>
  </si>
  <si>
    <t xml:space="preserve">010-9439-2293
</t>
    <phoneticPr fontId="3" type="noConversion"/>
  </si>
  <si>
    <t>qktkddjs@actoz.com</t>
    <phoneticPr fontId="3" type="noConversion"/>
  </si>
  <si>
    <t>널핏</t>
    <phoneticPr fontId="3" type="noConversion"/>
  </si>
  <si>
    <t>010-9716-0329</t>
    <phoneticPr fontId="3" type="noConversion"/>
  </si>
  <si>
    <t>yepark@nurfit.co.kr</t>
    <phoneticPr fontId="3" type="noConversion"/>
  </si>
  <si>
    <t>실크로드시앤티</t>
    <phoneticPr fontId="3" type="noConversion"/>
  </si>
  <si>
    <t>김민우</t>
    <phoneticPr fontId="3" type="noConversion"/>
  </si>
  <si>
    <t>010-8814-7168</t>
    <phoneticPr fontId="3" type="noConversion"/>
  </si>
  <si>
    <t>mk@silkroadcnt.co.kr</t>
    <phoneticPr fontId="3" type="noConversion"/>
  </si>
  <si>
    <t>에스비크럼즈</t>
    <phoneticPr fontId="3" type="noConversion"/>
  </si>
  <si>
    <t>최헤지</t>
    <phoneticPr fontId="3" type="noConversion"/>
  </si>
  <si>
    <t>053-580-2220</t>
    <phoneticPr fontId="3" type="noConversion"/>
  </si>
  <si>
    <t>hhjj9186@naver.com</t>
    <phoneticPr fontId="3" type="noConversion"/>
  </si>
  <si>
    <t>센트럴화재손해사정</t>
    <phoneticPr fontId="3" type="noConversion"/>
  </si>
  <si>
    <t>인당 월 상여금 복지포인트로 지급 예정 (총합 월 300만원)</t>
    <phoneticPr fontId="3" type="noConversion"/>
  </si>
  <si>
    <t>차승환</t>
    <phoneticPr fontId="3" type="noConversion"/>
  </si>
  <si>
    <t>서초</t>
    <phoneticPr fontId="3" type="noConversion"/>
  </si>
  <si>
    <t>010-7467-1194</t>
    <phoneticPr fontId="3" type="noConversion"/>
  </si>
  <si>
    <t>eanycar@naver.com</t>
    <phoneticPr fontId="3" type="noConversion"/>
  </si>
  <si>
    <t>메타시티</t>
    <phoneticPr fontId="3" type="noConversion"/>
  </si>
  <si>
    <t>인당 연 5만원 지급 (연 200만원)</t>
    <phoneticPr fontId="3" type="noConversion"/>
  </si>
  <si>
    <t>김서호</t>
    <phoneticPr fontId="3" type="noConversion"/>
  </si>
  <si>
    <t>010-4484-3628</t>
    <phoneticPr fontId="3" type="noConversion"/>
  </si>
  <si>
    <t xml:space="preserve">metacity@metacity.co.kr </t>
    <phoneticPr fontId="3" type="noConversion"/>
  </si>
  <si>
    <t>비와이스튜디오</t>
    <phoneticPr fontId="3" type="noConversion"/>
  </si>
  <si>
    <t>인당 월 20만원 (월 200만원)</t>
    <phoneticPr fontId="3" type="noConversion"/>
  </si>
  <si>
    <t>앙헤지</t>
    <phoneticPr fontId="3" type="noConversion"/>
  </si>
  <si>
    <t>010-4120-2949</t>
    <phoneticPr fontId="3" type="noConversion"/>
  </si>
  <si>
    <t>by.co1003@gmail.com</t>
    <phoneticPr fontId="3" type="noConversion"/>
  </si>
  <si>
    <t>덕진티엠에스</t>
    <phoneticPr fontId="3" type="noConversion"/>
  </si>
  <si>
    <t>일산</t>
    <phoneticPr fontId="3" type="noConversion"/>
  </si>
  <si>
    <t>인당 월 20만원 (월 100만원)</t>
    <phoneticPr fontId="3" type="noConversion"/>
  </si>
  <si>
    <t>박재성</t>
    <phoneticPr fontId="3" type="noConversion"/>
  </si>
  <si>
    <t>010-6752-0070</t>
    <phoneticPr fontId="3" type="noConversion"/>
  </si>
  <si>
    <t>wowlove072@naver.com</t>
    <phoneticPr fontId="3" type="noConversion"/>
  </si>
  <si>
    <t>에코디엠랩</t>
    <phoneticPr fontId="3" type="noConversion"/>
  </si>
  <si>
    <t>동대문</t>
    <phoneticPr fontId="3" type="noConversion"/>
  </si>
  <si>
    <t>인당 일 13,000원 (월 520만)</t>
    <phoneticPr fontId="3" type="noConversion"/>
  </si>
  <si>
    <t>신경화</t>
    <phoneticPr fontId="3" type="noConversion"/>
  </si>
  <si>
    <t>010-7424-0318</t>
    <phoneticPr fontId="3" type="noConversion"/>
  </si>
  <si>
    <t>현대알루미늄</t>
    <phoneticPr fontId="3" type="noConversion"/>
  </si>
  <si>
    <t>인당 일 1만원 (월 3,600만)</t>
    <phoneticPr fontId="3" type="noConversion"/>
  </si>
  <si>
    <t>이현진</t>
    <phoneticPr fontId="3" type="noConversion"/>
  </si>
  <si>
    <t>010-2520-3152</t>
    <phoneticPr fontId="3" type="noConversion"/>
  </si>
  <si>
    <t>엠케이프리시젼</t>
    <phoneticPr fontId="3" type="noConversion"/>
  </si>
  <si>
    <t>시흥</t>
    <phoneticPr fontId="3" type="noConversion"/>
  </si>
  <si>
    <t>인당 월 20만원 지급 (월 1,200만)</t>
    <phoneticPr fontId="3" type="noConversion"/>
  </si>
  <si>
    <t>조은아</t>
    <phoneticPr fontId="3" type="noConversion"/>
  </si>
  <si>
    <t>010-9958-5108</t>
    <phoneticPr fontId="3" type="noConversion"/>
  </si>
  <si>
    <t>skh_0318@naver.com</t>
    <phoneticPr fontId="3" type="noConversion"/>
  </si>
  <si>
    <t>hjlee0609@aluko.com</t>
    <phoneticPr fontId="3" type="noConversion"/>
  </si>
  <si>
    <t>eajo@mkp.kr</t>
    <phoneticPr fontId="3" type="noConversion"/>
  </si>
  <si>
    <t>라우종합건설</t>
    <phoneticPr fontId="3" type="noConversion"/>
  </si>
  <si>
    <t>고양</t>
    <phoneticPr fontId="3" type="noConversion"/>
  </si>
  <si>
    <t>이원준</t>
    <phoneticPr fontId="3" type="noConversion"/>
  </si>
  <si>
    <t>010-5055-1853</t>
    <phoneticPr fontId="3" type="noConversion"/>
  </si>
  <si>
    <t>laau@laaugroup.com</t>
    <phoneticPr fontId="3" type="noConversion"/>
  </si>
  <si>
    <t>티씨케이</t>
    <phoneticPr fontId="3" type="noConversion"/>
  </si>
  <si>
    <t>홍지환</t>
    <phoneticPr fontId="3" type="noConversion"/>
  </si>
  <si>
    <t>010-2018-8365</t>
    <phoneticPr fontId="3" type="noConversion"/>
  </si>
  <si>
    <t>jhhong@tck.co.kr</t>
    <phoneticPr fontId="3" type="noConversion"/>
  </si>
  <si>
    <t>에스케이티엔에스</t>
    <phoneticPr fontId="3" type="noConversion"/>
  </si>
  <si>
    <t>종로</t>
    <phoneticPr fontId="3" type="noConversion"/>
  </si>
  <si>
    <t>상세 정책 미정 (기존 식권대장 이용했으나 해지)</t>
    <phoneticPr fontId="3" type="noConversion"/>
  </si>
  <si>
    <t>조예진</t>
    <phoneticPr fontId="3" type="noConversion"/>
  </si>
  <si>
    <t>010-7475-6007</t>
    <phoneticPr fontId="3" type="noConversion"/>
  </si>
  <si>
    <t>yejini@sktns.com</t>
    <phoneticPr fontId="3" type="noConversion"/>
  </si>
  <si>
    <t>노벨리스코리아</t>
    <phoneticPr fontId="3" type="noConversion"/>
  </si>
  <si>
    <t>인당 일 11,000원 (월 3,300만)</t>
    <phoneticPr fontId="3" type="noConversion"/>
  </si>
  <si>
    <t>강나리</t>
    <phoneticPr fontId="3" type="noConversion"/>
  </si>
  <si>
    <t>010-2034-3795</t>
    <phoneticPr fontId="3" type="noConversion"/>
  </si>
  <si>
    <t>nari.kang@novelis.com</t>
    <phoneticPr fontId="3" type="noConversion"/>
  </si>
  <si>
    <t>명성에이앤티</t>
    <phoneticPr fontId="3" type="noConversion"/>
  </si>
  <si>
    <t>핀에어</t>
    <phoneticPr fontId="3" type="noConversion"/>
  </si>
  <si>
    <t>카녹샤크항공</t>
    <phoneticPr fontId="3" type="noConversion"/>
  </si>
  <si>
    <t>시그널스코프</t>
    <phoneticPr fontId="3" type="noConversion"/>
  </si>
  <si>
    <t>강동구</t>
    <phoneticPr fontId="3" type="noConversion"/>
  </si>
  <si>
    <t>제이케이링커스</t>
    <phoneticPr fontId="3" type="noConversion"/>
  </si>
  <si>
    <t>아웃소싱 기업</t>
    <phoneticPr fontId="3" type="noConversion"/>
  </si>
  <si>
    <t>보이저</t>
  </si>
  <si>
    <t>식권</t>
  </si>
  <si>
    <t>게임개발업</t>
  </si>
  <si>
    <t>구로구</t>
  </si>
  <si>
    <t>제2판교</t>
    <phoneticPr fontId="3" type="noConversion"/>
  </si>
  <si>
    <t>후이즈</t>
    <phoneticPr fontId="3" type="noConversion"/>
  </si>
  <si>
    <t>[단위 : 원, vat별도]</t>
    <phoneticPr fontId="3" type="noConversion"/>
  </si>
  <si>
    <t>아시아나항공(선오픈)</t>
    <phoneticPr fontId="3" type="noConversion"/>
  </si>
  <si>
    <t>손해보험사업</t>
    <phoneticPr fontId="3" type="noConversion"/>
  </si>
  <si>
    <t>영등포구</t>
    <phoneticPr fontId="3" type="noConversion"/>
  </si>
  <si>
    <t>씽크인</t>
    <phoneticPr fontId="3" type="noConversion"/>
  </si>
  <si>
    <t>리터니티</t>
    <phoneticPr fontId="3" type="noConversion"/>
  </si>
  <si>
    <t>학술연구용역및컨설팅업</t>
    <phoneticPr fontId="3" type="noConversion"/>
  </si>
  <si>
    <t>센트럴화재특종손해사정</t>
    <phoneticPr fontId="3" type="noConversion"/>
  </si>
  <si>
    <t>화장품제조업</t>
    <phoneticPr fontId="3" type="noConversion"/>
  </si>
  <si>
    <t>분당구</t>
    <phoneticPr fontId="3" type="noConversion"/>
  </si>
  <si>
    <t>한국항공서비스</t>
    <phoneticPr fontId="3" type="noConversion"/>
  </si>
  <si>
    <t>공항라인정비</t>
    <phoneticPr fontId="3" type="noConversion"/>
  </si>
  <si>
    <t>케이에프</t>
    <phoneticPr fontId="3" type="noConversion"/>
  </si>
  <si>
    <t>씨제이유통</t>
    <phoneticPr fontId="3" type="noConversion"/>
  </si>
  <si>
    <t>조성훈</t>
    <phoneticPr fontId="3" type="noConversion"/>
  </si>
  <si>
    <t>010-5395-2708</t>
    <phoneticPr fontId="3" type="noConversion"/>
  </si>
  <si>
    <t>SAP코리아</t>
    <phoneticPr fontId="3" type="noConversion"/>
  </si>
  <si>
    <t>반포,여의도</t>
    <phoneticPr fontId="3" type="noConversion"/>
  </si>
  <si>
    <t>인당 월 15만원 식대 지원 (월 1억)</t>
    <phoneticPr fontId="3" type="noConversion"/>
  </si>
  <si>
    <t>박기영</t>
    <phoneticPr fontId="3" type="noConversion"/>
  </si>
  <si>
    <t>010-3571-6038</t>
    <phoneticPr fontId="3" type="noConversion"/>
  </si>
  <si>
    <t>kiyoung.park@sap.com</t>
    <phoneticPr fontId="3" type="noConversion"/>
  </si>
  <si>
    <t>내트럭주식회사</t>
    <phoneticPr fontId="3" type="noConversion"/>
  </si>
  <si>
    <t>서주형</t>
    <phoneticPr fontId="3" type="noConversion"/>
  </si>
  <si>
    <t>인당 월 20만원 복지포인트 지급 예정 (연 7,200만), 30명 대상 선지급 후 확대</t>
    <phoneticPr fontId="3" type="noConversion"/>
  </si>
  <si>
    <t>010-7165-4412</t>
    <phoneticPr fontId="3" type="noConversion"/>
  </si>
  <si>
    <t>jh.seo@netruck.co.kr</t>
    <phoneticPr fontId="3" type="noConversion"/>
  </si>
  <si>
    <t>인당 월 20만원 식대 지급 (월 80만)</t>
    <phoneticPr fontId="3" type="noConversion"/>
  </si>
  <si>
    <t>이관용</t>
    <phoneticPr fontId="3" type="noConversion"/>
  </si>
  <si>
    <t>010-7353-8553</t>
    <phoneticPr fontId="3" type="noConversion"/>
  </si>
  <si>
    <t>support@thinkin.kr</t>
    <phoneticPr fontId="3" type="noConversion"/>
  </si>
  <si>
    <t>롯데장학재단</t>
    <phoneticPr fontId="3" type="noConversion"/>
  </si>
  <si>
    <t>인당 월 20만원 복지포인트 지급 (연 7,700만)</t>
    <phoneticPr fontId="3" type="noConversion"/>
  </si>
  <si>
    <t>010-5613-0359</t>
    <phoneticPr fontId="3" type="noConversion"/>
  </si>
  <si>
    <t>이홍서</t>
    <phoneticPr fontId="3" type="noConversion"/>
  </si>
  <si>
    <t>hongseo.lee@lotte.net</t>
    <phoneticPr fontId="3" type="noConversion"/>
  </si>
  <si>
    <t>직화설</t>
    <phoneticPr fontId="3" type="noConversion"/>
  </si>
  <si>
    <t>구리시</t>
    <phoneticPr fontId="3" type="noConversion"/>
  </si>
  <si>
    <t>인당 월 20만원 복지포인트 지급 (연 720만)</t>
    <phoneticPr fontId="3" type="noConversion"/>
  </si>
  <si>
    <t>최필호</t>
    <phoneticPr fontId="3" type="noConversion"/>
  </si>
  <si>
    <t>010-3081-4610</t>
    <phoneticPr fontId="3" type="noConversion"/>
  </si>
  <si>
    <t>한국콩스버그마리타임</t>
    <phoneticPr fontId="3" type="noConversion"/>
  </si>
  <si>
    <t>상세 정책 확인 필요</t>
    <phoneticPr fontId="3" type="noConversion"/>
  </si>
  <si>
    <t>서성민</t>
    <phoneticPr fontId="3" type="noConversion"/>
  </si>
  <si>
    <t>010-7491-0443</t>
    <phoneticPr fontId="3" type="noConversion"/>
  </si>
  <si>
    <t>seosm22@naver.com</t>
    <phoneticPr fontId="3" type="noConversion"/>
  </si>
  <si>
    <t>오아시스 시큐리티</t>
    <phoneticPr fontId="3" type="noConversion"/>
  </si>
  <si>
    <t>백준영</t>
    <phoneticPr fontId="3" type="noConversion"/>
  </si>
  <si>
    <t>010-7184-9191</t>
    <phoneticPr fontId="3" type="noConversion"/>
  </si>
  <si>
    <t>landofx@oasis-security.kr</t>
    <phoneticPr fontId="3" type="noConversion"/>
  </si>
  <si>
    <t>인당 일 13,000원 식대지급 (월 230만)</t>
    <phoneticPr fontId="3" type="noConversion"/>
  </si>
  <si>
    <t>양동수</t>
    <phoneticPr fontId="3" type="noConversion"/>
  </si>
  <si>
    <t>010-9590-2530</t>
    <phoneticPr fontId="3" type="noConversion"/>
  </si>
  <si>
    <t>dsyang@returnity.co.kr</t>
    <phoneticPr fontId="3" type="noConversion"/>
  </si>
  <si>
    <t>미래그룹</t>
    <phoneticPr fontId="3" type="noConversion"/>
  </si>
  <si>
    <t>인당 연 50만원 복지포인트 지급 (연 3억)</t>
    <phoneticPr fontId="3" type="noConversion"/>
  </si>
  <si>
    <t>김리아</t>
    <phoneticPr fontId="3" type="noConversion"/>
  </si>
  <si>
    <t>010-5579-1910</t>
    <phoneticPr fontId="3" type="noConversion"/>
  </si>
  <si>
    <t>since1099@naver.com</t>
    <phoneticPr fontId="3" type="noConversion"/>
  </si>
  <si>
    <t>6월 중</t>
    <phoneticPr fontId="3" type="noConversion"/>
  </si>
  <si>
    <t>부동산중개업</t>
    <phoneticPr fontId="3" type="noConversion"/>
  </si>
  <si>
    <t>외식프랜차이즈업</t>
    <phoneticPr fontId="3" type="noConversion"/>
  </si>
  <si>
    <t>케이씨피드</t>
    <phoneticPr fontId="3" type="noConversion"/>
  </si>
  <si>
    <t>영천시</t>
    <phoneticPr fontId="3" type="noConversion"/>
  </si>
  <si>
    <t>배합사료제조업</t>
    <phoneticPr fontId="3" type="noConversion"/>
  </si>
  <si>
    <t>콜러벤처스인크한국지점</t>
    <phoneticPr fontId="3" type="noConversion"/>
  </si>
  <si>
    <t>성수</t>
    <phoneticPr fontId="3" type="noConversion"/>
  </si>
  <si>
    <t>이상윤</t>
    <phoneticPr fontId="3" type="noConversion"/>
  </si>
  <si>
    <t>010-2018-8412</t>
    <phoneticPr fontId="3" type="noConversion"/>
  </si>
  <si>
    <t>스페바이오</t>
    <phoneticPr fontId="3" type="noConversion"/>
  </si>
  <si>
    <t>인당 일 10,000 ~ 12,000원 지원 검토 중</t>
    <phoneticPr fontId="3" type="noConversion"/>
  </si>
  <si>
    <t>박지윤</t>
    <phoneticPr fontId="3" type="noConversion"/>
  </si>
  <si>
    <t>02-6269-0825</t>
    <phoneticPr fontId="3" type="noConversion"/>
  </si>
  <si>
    <t>에스에스오트론</t>
    <phoneticPr fontId="3" type="noConversion"/>
  </si>
  <si>
    <t>신동호</t>
    <phoneticPr fontId="3" type="noConversion"/>
  </si>
  <si>
    <t>010-2569-0336</t>
    <phoneticPr fontId="3" type="noConversion"/>
  </si>
  <si>
    <t>옴니콤미디어그룹코리아</t>
    <phoneticPr fontId="3" type="noConversion"/>
  </si>
  <si>
    <t>미정</t>
    <phoneticPr fontId="3" type="noConversion"/>
  </si>
  <si>
    <t>박찬희</t>
    <phoneticPr fontId="3" type="noConversion"/>
  </si>
  <si>
    <t>010-7234-1246</t>
    <phoneticPr fontId="3" type="noConversion"/>
  </si>
  <si>
    <t>쥬니스다이어트</t>
    <phoneticPr fontId="3" type="noConversion"/>
  </si>
  <si>
    <t>인당 연 50만원 복지포인트 지급 (연 1억 5천)</t>
    <phoneticPr fontId="3" type="noConversion"/>
  </si>
  <si>
    <t>김정연</t>
    <phoneticPr fontId="3" type="noConversion"/>
  </si>
  <si>
    <t>070-4838-7899</t>
    <phoneticPr fontId="3" type="noConversion"/>
  </si>
  <si>
    <t>덱사 스튜디오</t>
    <phoneticPr fontId="3" type="noConversion"/>
  </si>
  <si>
    <t>인당 일 15,000원 야근식대 지원</t>
    <phoneticPr fontId="3" type="noConversion"/>
  </si>
  <si>
    <t>김지훈</t>
    <phoneticPr fontId="3" type="noConversion"/>
  </si>
  <si>
    <t>010-9231-7469</t>
    <phoneticPr fontId="3" type="noConversion"/>
  </si>
  <si>
    <t>태웅로직스</t>
    <phoneticPr fontId="3" type="noConversion"/>
  </si>
  <si>
    <t>22년도 인바운드 인입됐으나 타사 확정, 업체 변경 검토 중 (월 1,200만)</t>
    <phoneticPr fontId="3" type="noConversion"/>
  </si>
  <si>
    <t>권준희</t>
    <phoneticPr fontId="3" type="noConversion"/>
  </si>
  <si>
    <t>010-7467-7377</t>
    <phoneticPr fontId="3" type="noConversion"/>
  </si>
  <si>
    <t>한미르주식회사</t>
    <phoneticPr fontId="3" type="noConversion"/>
  </si>
  <si>
    <t>인천 서구</t>
    <phoneticPr fontId="3" type="noConversion"/>
  </si>
  <si>
    <t>직원 별 성과포인트 지급 (반기별)</t>
    <phoneticPr fontId="3" type="noConversion"/>
  </si>
  <si>
    <t>김권찬</t>
    <phoneticPr fontId="3" type="noConversion"/>
  </si>
  <si>
    <t>010-5802-0037</t>
    <phoneticPr fontId="3" type="noConversion"/>
  </si>
  <si>
    <t>머니머신</t>
    <phoneticPr fontId="3" type="noConversion"/>
  </si>
  <si>
    <t>조진오</t>
    <phoneticPr fontId="3" type="noConversion"/>
  </si>
  <si>
    <t>010-7771-2773</t>
    <phoneticPr fontId="3" type="noConversion"/>
  </si>
  <si>
    <t>다이아덴트</t>
    <phoneticPr fontId="3" type="noConversion"/>
  </si>
  <si>
    <t>김준섭</t>
    <phoneticPr fontId="3" type="noConversion"/>
  </si>
  <si>
    <t>010-2386-5740</t>
    <phoneticPr fontId="3" type="noConversion"/>
  </si>
  <si>
    <t>디엘마케팅</t>
    <phoneticPr fontId="3" type="noConversion"/>
  </si>
  <si>
    <t>인당 일 15,000원 + 야근식대 15,000원 (월 4,500만)</t>
    <phoneticPr fontId="3" type="noConversion"/>
  </si>
  <si>
    <t>강태원</t>
    <phoneticPr fontId="3" type="noConversion"/>
  </si>
  <si>
    <t>010-8747-8514</t>
    <phoneticPr fontId="3" type="noConversion"/>
  </si>
  <si>
    <t>씨이랩</t>
    <phoneticPr fontId="3" type="noConversion"/>
  </si>
  <si>
    <t>인당 월 20만원 복지포인트 지급 중 (월 1,400만)</t>
    <phoneticPr fontId="3" type="noConversion"/>
  </si>
  <si>
    <t>양준모</t>
    <phoneticPr fontId="3" type="noConversion"/>
  </si>
  <si>
    <t>010-9062-0965</t>
    <phoneticPr fontId="3" type="noConversion"/>
  </si>
  <si>
    <t>드림인코</t>
    <phoneticPr fontId="3" type="noConversion"/>
  </si>
  <si>
    <t>인당 일 1만원 식신 이용 중(월 1천만), 전환 확정</t>
    <phoneticPr fontId="3" type="noConversion"/>
  </si>
  <si>
    <t>김미선</t>
    <phoneticPr fontId="3" type="noConversion"/>
  </si>
  <si>
    <t>070-7013-5406</t>
    <phoneticPr fontId="3" type="noConversion"/>
  </si>
  <si>
    <t>e1250@naver.com</t>
    <phoneticPr fontId="3" type="noConversion"/>
  </si>
  <si>
    <t>sangyoon.lee@kohler.com</t>
    <phoneticPr fontId="3" type="noConversion"/>
  </si>
  <si>
    <t>jypark@sphebio.com</t>
    <phoneticPr fontId="3" type="noConversion"/>
  </si>
  <si>
    <t>dhshin.prgm@ssotron.co.kr</t>
    <phoneticPr fontId="3" type="noConversion"/>
  </si>
  <si>
    <t>chanhee.park@omnicommediagroup.com</t>
    <phoneticPr fontId="3" type="noConversion"/>
  </si>
  <si>
    <t>jykim0115@juvis.co.kr</t>
    <phoneticPr fontId="3" type="noConversion"/>
  </si>
  <si>
    <t>hoon@dexarstudio.com</t>
    <phoneticPr fontId="3" type="noConversion"/>
  </si>
  <si>
    <t>jhkwon@twsc.co.kr</t>
    <phoneticPr fontId="3" type="noConversion"/>
  </si>
  <si>
    <t>kimgc@hanmirfe.com</t>
    <phoneticPr fontId="3" type="noConversion"/>
  </si>
  <si>
    <t xml:space="preserve">ixtous@naver.com </t>
    <phoneticPr fontId="3" type="noConversion"/>
  </si>
  <si>
    <t>diadent44@diadent.co.kr</t>
    <phoneticPr fontId="3" type="noConversion"/>
  </si>
  <si>
    <t>taewon@dlmarketing.kr</t>
    <phoneticPr fontId="3" type="noConversion"/>
  </si>
  <si>
    <t>j.yang@xiilab.com</t>
    <phoneticPr fontId="3" type="noConversion"/>
  </si>
  <si>
    <t>mskim@dreaminko.com</t>
    <phoneticPr fontId="3" type="noConversion"/>
  </si>
  <si>
    <t>타 서비스 도입 확정</t>
    <phoneticPr fontId="3" type="noConversion"/>
  </si>
  <si>
    <t>완구도소매업</t>
    <phoneticPr fontId="3" type="noConversion"/>
  </si>
  <si>
    <t>제이준성형외과</t>
    <phoneticPr fontId="3" type="noConversion"/>
  </si>
  <si>
    <t>성형외과의원</t>
    <phoneticPr fontId="3" type="noConversion"/>
  </si>
  <si>
    <t>마케팅대행업</t>
    <phoneticPr fontId="3" type="noConversion"/>
  </si>
  <si>
    <t>에이스산업기술</t>
    <phoneticPr fontId="3" type="noConversion"/>
  </si>
  <si>
    <t>사내카페</t>
    <phoneticPr fontId="3" type="noConversion"/>
  </si>
  <si>
    <t>덱사스튜디오</t>
    <phoneticPr fontId="3" type="noConversion"/>
  </si>
  <si>
    <t>건설업</t>
    <phoneticPr fontId="3" type="noConversion"/>
  </si>
  <si>
    <t>리올의원</t>
    <phoneticPr fontId="3" type="noConversion"/>
  </si>
  <si>
    <t>피부과의원</t>
    <phoneticPr fontId="3" type="noConversion"/>
  </si>
  <si>
    <t>프레이저테라퓨틱스</t>
    <phoneticPr fontId="3" type="noConversion"/>
  </si>
  <si>
    <t>인당 월 15만원 복지포인트 지급 (연 5천만원)</t>
    <phoneticPr fontId="3" type="noConversion"/>
  </si>
  <si>
    <t>김종윤</t>
    <phoneticPr fontId="3" type="noConversion"/>
  </si>
  <si>
    <t>010-8514-1985</t>
    <phoneticPr fontId="3" type="noConversion"/>
  </si>
  <si>
    <t>인당 월 15,000원 사내포인트 지급 (월 600만원)</t>
    <phoneticPr fontId="3" type="noConversion"/>
  </si>
  <si>
    <t>박기범</t>
    <phoneticPr fontId="3" type="noConversion"/>
  </si>
  <si>
    <t>010-7180-6025</t>
    <phoneticPr fontId="3" type="noConversion"/>
  </si>
  <si>
    <t>파마사이언스코리아</t>
    <phoneticPr fontId="3" type="noConversion"/>
  </si>
  <si>
    <t>인당 연 100만원 복지포인트 지급 (연 2천만원)</t>
    <phoneticPr fontId="3" type="noConversion"/>
  </si>
  <si>
    <t>김미은</t>
    <phoneticPr fontId="3" type="noConversion"/>
  </si>
  <si>
    <t>010-9556-6789</t>
    <phoneticPr fontId="3" type="noConversion"/>
  </si>
  <si>
    <t>인당 월 상여금 복지포인트로 지급 예정 (연 약 1억)</t>
    <phoneticPr fontId="3" type="noConversion"/>
  </si>
  <si>
    <t>조성일</t>
    <phoneticPr fontId="3" type="noConversion"/>
  </si>
  <si>
    <t>010-3879-7385</t>
    <phoneticPr fontId="3" type="noConversion"/>
  </si>
  <si>
    <t>핫셀러</t>
    <phoneticPr fontId="3" type="noConversion"/>
  </si>
  <si>
    <t>인당 중식대 무제한, 야근식대 15,000원 (월 약 2천만)</t>
    <phoneticPr fontId="3" type="noConversion"/>
  </si>
  <si>
    <t>이주강</t>
    <phoneticPr fontId="3" type="noConversion"/>
  </si>
  <si>
    <t>010-5710-7336</t>
    <phoneticPr fontId="3" type="noConversion"/>
  </si>
  <si>
    <t>프라임마스코리아</t>
    <phoneticPr fontId="3" type="noConversion"/>
  </si>
  <si>
    <t>수내</t>
    <phoneticPr fontId="3" type="noConversion"/>
  </si>
  <si>
    <t>인당 일 12,000원 (월 1,400만)</t>
    <phoneticPr fontId="3" type="noConversion"/>
  </si>
  <si>
    <t>정진영</t>
    <phoneticPr fontId="3" type="noConversion"/>
  </si>
  <si>
    <t>010-8394-0401</t>
    <phoneticPr fontId="3" type="noConversion"/>
  </si>
  <si>
    <t>바즈바이오메딕</t>
    <phoneticPr fontId="3" type="noConversion"/>
  </si>
  <si>
    <t>인당 월 20만원 복지포인트 지급 (연 1억 3천만)</t>
    <phoneticPr fontId="3" type="noConversion"/>
  </si>
  <si>
    <t>박정근</t>
    <phoneticPr fontId="3" type="noConversion"/>
  </si>
  <si>
    <t>010-3008-4929</t>
    <phoneticPr fontId="3" type="noConversion"/>
  </si>
  <si>
    <t>파란플라워네트워크</t>
    <phoneticPr fontId="3" type="noConversion"/>
  </si>
  <si>
    <t>인당 월 20만원 복지포인트 지급 (연 2,400만)</t>
    <phoneticPr fontId="3" type="noConversion"/>
  </si>
  <si>
    <t>신성은</t>
    <phoneticPr fontId="3" type="noConversion"/>
  </si>
  <si>
    <t>010-5472-1571</t>
    <phoneticPr fontId="3" type="noConversion"/>
  </si>
  <si>
    <t>머스트자산운용</t>
    <phoneticPr fontId="3" type="noConversion"/>
  </si>
  <si>
    <t>식대 정책 반려, 추후 재검토 예정</t>
    <phoneticPr fontId="3" type="noConversion"/>
  </si>
  <si>
    <t>배인주</t>
    <phoneticPr fontId="3" type="noConversion"/>
  </si>
  <si>
    <t>010-2270-8416</t>
    <phoneticPr fontId="3" type="noConversion"/>
  </si>
  <si>
    <t>jongyun.kim@prazertx.com</t>
    <phoneticPr fontId="3" type="noConversion"/>
  </si>
  <si>
    <t>homecoming0628@naver.com</t>
    <phoneticPr fontId="3" type="noConversion"/>
  </si>
  <si>
    <t>mkim@pharmascience.com</t>
    <phoneticPr fontId="3" type="noConversion"/>
  </si>
  <si>
    <t>whtjddlf12@naver.com</t>
    <phoneticPr fontId="3" type="noConversion"/>
  </si>
  <si>
    <t>jukang88@hotseller.co.kr</t>
    <phoneticPr fontId="3" type="noConversion"/>
  </si>
  <si>
    <t>rio@primemas.com</t>
    <phoneticPr fontId="3" type="noConversion"/>
  </si>
  <si>
    <t>jgpark@bazbiomedic.com</t>
    <phoneticPr fontId="3" type="noConversion"/>
  </si>
  <si>
    <t>lllionne@naver.com</t>
    <phoneticPr fontId="3" type="noConversion"/>
  </si>
  <si>
    <t>한국전산구조공학회</t>
    <phoneticPr fontId="3" type="noConversion"/>
  </si>
  <si>
    <t>강남 등</t>
    <phoneticPr fontId="3" type="noConversion"/>
  </si>
  <si>
    <t>반기 별 세미나 참석자 대상 식대 지급 (인당 12,000원 / 월 50만원)</t>
    <phoneticPr fontId="3" type="noConversion"/>
  </si>
  <si>
    <t>최슬아</t>
    <phoneticPr fontId="3" type="noConversion"/>
  </si>
  <si>
    <t>010-8020-0880</t>
    <phoneticPr fontId="3" type="noConversion"/>
  </si>
  <si>
    <t>coseik@coseik.or.kr</t>
    <phoneticPr fontId="3" type="noConversion"/>
  </si>
  <si>
    <t>인당 일 11,000원 식대 지급 (월 100만원)</t>
    <phoneticPr fontId="3" type="noConversion"/>
  </si>
  <si>
    <t>조현대</t>
    <phoneticPr fontId="3" type="noConversion"/>
  </si>
  <si>
    <t>010-5172-0357</t>
    <phoneticPr fontId="3" type="noConversion"/>
  </si>
  <si>
    <t>rodnjs12345@naver.com</t>
    <phoneticPr fontId="3" type="noConversion"/>
  </si>
  <si>
    <t>파인드 프로덕츠</t>
    <phoneticPr fontId="3" type="noConversion"/>
  </si>
  <si>
    <t>인당 일 1만원 식대 지급 (월 100만원)</t>
    <phoneticPr fontId="3" type="noConversion"/>
  </si>
  <si>
    <t>송원석</t>
    <phoneticPr fontId="3" type="noConversion"/>
  </si>
  <si>
    <t>010-9811-8909</t>
    <phoneticPr fontId="3" type="noConversion"/>
  </si>
  <si>
    <t>sws@qfold.com'</t>
    <phoneticPr fontId="3" type="noConversion"/>
  </si>
  <si>
    <t>청록의료재단</t>
    <phoneticPr fontId="3" type="noConversion"/>
  </si>
  <si>
    <t>창원</t>
    <phoneticPr fontId="3" type="noConversion"/>
  </si>
  <si>
    <t>010-3750-1028</t>
    <phoneticPr fontId="3" type="noConversion"/>
  </si>
  <si>
    <t>양현</t>
    <phoneticPr fontId="3" type="noConversion"/>
  </si>
  <si>
    <t>이비덴그라파이트코리아</t>
    <phoneticPr fontId="3" type="noConversion"/>
  </si>
  <si>
    <t>포항</t>
    <phoneticPr fontId="3" type="noConversion"/>
  </si>
  <si>
    <t>인당 월 10만원 복지포인트 지급 (월 1천만원)</t>
    <phoneticPr fontId="3" type="noConversion"/>
  </si>
  <si>
    <t>장경서</t>
    <phoneticPr fontId="3" type="noConversion"/>
  </si>
  <si>
    <t>010-5440-73.71</t>
    <phoneticPr fontId="3" type="noConversion"/>
  </si>
  <si>
    <t>gyeongseo_jang.igk@ibiden.com</t>
    <phoneticPr fontId="3" type="noConversion"/>
  </si>
  <si>
    <t>한국증권금융</t>
    <phoneticPr fontId="3" type="noConversion"/>
  </si>
  <si>
    <t>상세 정책 미정, 폐쇄형 복지몰 전환 검토 중</t>
    <phoneticPr fontId="3" type="noConversion"/>
  </si>
  <si>
    <t>고하경</t>
    <phoneticPr fontId="3" type="noConversion"/>
  </si>
  <si>
    <t>02-3770-8703</t>
    <phoneticPr fontId="3" type="noConversion"/>
  </si>
  <si>
    <t>hgko@ksfc.co.kr</t>
    <phoneticPr fontId="3" type="noConversion"/>
  </si>
  <si>
    <t>비금속광물제품제조업</t>
    <phoneticPr fontId="3" type="noConversion"/>
  </si>
  <si>
    <t>포항시</t>
    <phoneticPr fontId="3" type="noConversion"/>
  </si>
  <si>
    <t>롯데재단</t>
    <phoneticPr fontId="3" type="noConversion"/>
  </si>
  <si>
    <t>재단법인</t>
    <phoneticPr fontId="3" type="noConversion"/>
  </si>
  <si>
    <t>의료기기제조업</t>
    <phoneticPr fontId="3" type="noConversion"/>
  </si>
  <si>
    <t>용인시보호작업장</t>
    <phoneticPr fontId="3" type="noConversion"/>
  </si>
  <si>
    <t>직업재활센터</t>
    <phoneticPr fontId="3" type="noConversion"/>
  </si>
  <si>
    <t>커넥스트</t>
    <phoneticPr fontId="3" type="noConversion"/>
  </si>
  <si>
    <t>브이피에이치이</t>
    <phoneticPr fontId="3" type="noConversion"/>
  </si>
  <si>
    <t>금속가공제품제조업</t>
    <phoneticPr fontId="3" type="noConversion"/>
  </si>
  <si>
    <t>대구시</t>
    <phoneticPr fontId="3" type="noConversion"/>
  </si>
  <si>
    <t>에이큐</t>
    <phoneticPr fontId="3" type="noConversion"/>
  </si>
  <si>
    <t>씨앤씨테크</t>
    <phoneticPr fontId="3" type="noConversion"/>
  </si>
  <si>
    <t>기아오토큐 철산점</t>
    <phoneticPr fontId="3" type="noConversion"/>
  </si>
  <si>
    <t>자동차수리업</t>
    <phoneticPr fontId="3" type="noConversion"/>
  </si>
  <si>
    <t>광명시</t>
    <phoneticPr fontId="3" type="noConversion"/>
  </si>
  <si>
    <t>체크멀</t>
    <phoneticPr fontId="3" type="noConversion"/>
  </si>
  <si>
    <t>보안솔루션개발업</t>
    <phoneticPr fontId="3" type="noConversion"/>
  </si>
  <si>
    <t>씨투디자인</t>
    <phoneticPr fontId="3" type="noConversion"/>
  </si>
  <si>
    <t>한국공항보안(무안공항)</t>
    <phoneticPr fontId="3" type="noConversion"/>
  </si>
  <si>
    <t>공항보안서비스업</t>
    <phoneticPr fontId="3" type="noConversion"/>
  </si>
  <si>
    <t>무안시</t>
    <phoneticPr fontId="3" type="noConversion"/>
  </si>
  <si>
    <t>에스앤코 코리아</t>
    <phoneticPr fontId="3" type="noConversion"/>
  </si>
  <si>
    <t>마곡, 역삼</t>
    <phoneticPr fontId="3" type="noConversion"/>
  </si>
  <si>
    <t>인당 일 9,000원 ~ 1만원 식대 지원 (월 2천만)</t>
    <phoneticPr fontId="3" type="noConversion"/>
  </si>
  <si>
    <t>박근희</t>
    <phoneticPr fontId="3" type="noConversion"/>
  </si>
  <si>
    <t>010-2727-9840</t>
    <phoneticPr fontId="3" type="noConversion"/>
  </si>
  <si>
    <t>붅당</t>
    <phoneticPr fontId="3" type="noConversion"/>
  </si>
  <si>
    <t>인당 일 12,000원 (월 200만)</t>
    <phoneticPr fontId="3" type="noConversion"/>
  </si>
  <si>
    <t>조아라</t>
    <phoneticPr fontId="3" type="noConversion"/>
  </si>
  <si>
    <t>010-4438-2312</t>
    <phoneticPr fontId="3" type="noConversion"/>
  </si>
  <si>
    <t>스마트파워</t>
    <phoneticPr fontId="3" type="noConversion"/>
  </si>
  <si>
    <t>최혜리</t>
    <phoneticPr fontId="3" type="noConversion"/>
  </si>
  <si>
    <t>010-7702-5295</t>
    <phoneticPr fontId="3" type="noConversion"/>
  </si>
  <si>
    <t>지수진</t>
    <phoneticPr fontId="3" type="noConversion"/>
  </si>
  <si>
    <t>031-320-4898</t>
    <phoneticPr fontId="3" type="noConversion"/>
  </si>
  <si>
    <t>미라텍</t>
    <phoneticPr fontId="3" type="noConversion"/>
  </si>
  <si>
    <t>조영훈</t>
    <phoneticPr fontId="3" type="noConversion"/>
  </si>
  <si>
    <t>010-4225-1885</t>
    <phoneticPr fontId="3" type="noConversion"/>
  </si>
  <si>
    <t>인당 연 60만원 (연 720만)</t>
    <phoneticPr fontId="3" type="noConversion"/>
  </si>
  <si>
    <t>인당 연 60만원 (연 5,200만)</t>
    <phoneticPr fontId="3" type="noConversion"/>
  </si>
  <si>
    <t>제정민</t>
    <phoneticPr fontId="3" type="noConversion"/>
  </si>
  <si>
    <t>010-9938-7969</t>
    <phoneticPr fontId="3" type="noConversion"/>
  </si>
  <si>
    <t>퍼플페퍼</t>
    <phoneticPr fontId="3" type="noConversion"/>
  </si>
  <si>
    <t>합정</t>
    <phoneticPr fontId="3" type="noConversion"/>
  </si>
  <si>
    <t>송건희</t>
    <phoneticPr fontId="3" type="noConversion"/>
  </si>
  <si>
    <t>010-2296-2289</t>
    <phoneticPr fontId="3" type="noConversion"/>
  </si>
  <si>
    <t>에스와이(양지파인리조트)</t>
    <phoneticPr fontId="3" type="noConversion"/>
  </si>
  <si>
    <t>건설현장 근로자 대상 식권 서비스 도입 (일 7,000 + a / 월 1억 6천만)</t>
    <phoneticPr fontId="3" type="noConversion"/>
  </si>
  <si>
    <t>현기영</t>
    <phoneticPr fontId="3" type="noConversion"/>
  </si>
  <si>
    <t>010-5579-6854</t>
    <phoneticPr fontId="3" type="noConversion"/>
  </si>
  <si>
    <t>에이치앤에이치컨설팅</t>
    <phoneticPr fontId="3" type="noConversion"/>
  </si>
  <si>
    <t>구정욱</t>
    <phoneticPr fontId="3" type="noConversion"/>
  </si>
  <si>
    <t>010-4062-4047</t>
    <phoneticPr fontId="3" type="noConversion"/>
  </si>
  <si>
    <t>밥콕코리아</t>
    <phoneticPr fontId="3" type="noConversion"/>
  </si>
  <si>
    <t>박주현</t>
    <phoneticPr fontId="3" type="noConversion"/>
  </si>
  <si>
    <t>010-8822-4674</t>
    <phoneticPr fontId="3" type="noConversion"/>
  </si>
  <si>
    <t>동서화학공업</t>
    <phoneticPr fontId="3" type="noConversion"/>
  </si>
  <si>
    <t>박영석</t>
    <phoneticPr fontId="3" type="noConversion"/>
  </si>
  <si>
    <t>010-4848-8408</t>
    <phoneticPr fontId="3" type="noConversion"/>
  </si>
  <si>
    <t>씨에스윈드</t>
    <phoneticPr fontId="3" type="noConversion"/>
  </si>
  <si>
    <t>인당 일 12,000원 (월 2,400만)</t>
    <phoneticPr fontId="3" type="noConversion"/>
  </si>
  <si>
    <t>정유재</t>
    <phoneticPr fontId="3" type="noConversion"/>
  </si>
  <si>
    <t>02-6480-1902</t>
    <phoneticPr fontId="3" type="noConversion"/>
  </si>
  <si>
    <t>한컴아카데미</t>
    <phoneticPr fontId="3" type="noConversion"/>
  </si>
  <si>
    <t>상세 정책 미정, 교육생 대상 식대 지원 검토 중 / 정자역 가맹점 부족하여 홀딩</t>
    <phoneticPr fontId="3" type="noConversion"/>
  </si>
  <si>
    <t>유하늘</t>
    <phoneticPr fontId="3" type="noConversion"/>
  </si>
  <si>
    <t>010-5149-1323</t>
    <phoneticPr fontId="3" type="noConversion"/>
  </si>
  <si>
    <t>위앤유텍</t>
    <phoneticPr fontId="3" type="noConversion"/>
  </si>
  <si>
    <t>한현진</t>
    <phoneticPr fontId="3" type="noConversion"/>
  </si>
  <si>
    <t>010-7765-3164</t>
    <phoneticPr fontId="3" type="noConversion"/>
  </si>
  <si>
    <t>이뮤니스바이오</t>
    <phoneticPr fontId="3" type="noConversion"/>
  </si>
  <si>
    <t>인천</t>
    <phoneticPr fontId="3" type="noConversion"/>
  </si>
  <si>
    <t>인당 연 60만원 (연 3천만원)</t>
    <phoneticPr fontId="3" type="noConversion"/>
  </si>
  <si>
    <t>최지호</t>
    <phoneticPr fontId="3" type="noConversion"/>
  </si>
  <si>
    <t>010-7739-9741</t>
    <phoneticPr fontId="3" type="noConversion"/>
  </si>
  <si>
    <t>현진스포텍</t>
    <phoneticPr fontId="3" type="noConversion"/>
  </si>
  <si>
    <t>인당 연 50만원 (연 1억 1천만)</t>
    <phoneticPr fontId="3" type="noConversion"/>
  </si>
  <si>
    <t>이세영</t>
    <phoneticPr fontId="3" type="noConversion"/>
  </si>
  <si>
    <t>010-9522-0230</t>
    <phoneticPr fontId="3" type="noConversion"/>
  </si>
  <si>
    <t>인당 월 20만원 (연 6천만)</t>
    <phoneticPr fontId="3" type="noConversion"/>
  </si>
  <si>
    <t>김광희</t>
    <phoneticPr fontId="3" type="noConversion"/>
  </si>
  <si>
    <t>010-6360-5898</t>
    <phoneticPr fontId="3" type="noConversion"/>
  </si>
  <si>
    <t>세진스포츠</t>
    <phoneticPr fontId="3" type="noConversion"/>
  </si>
  <si>
    <t>동작</t>
    <phoneticPr fontId="3" type="noConversion"/>
  </si>
  <si>
    <t>인당 월 20만원 (연 2,400만)</t>
    <phoneticPr fontId="3" type="noConversion"/>
  </si>
  <si>
    <t>이현아</t>
    <phoneticPr fontId="3" type="noConversion"/>
  </si>
  <si>
    <t>010-6587-3234</t>
    <phoneticPr fontId="3" type="noConversion"/>
  </si>
  <si>
    <t>디비디케이</t>
    <phoneticPr fontId="3" type="noConversion"/>
  </si>
  <si>
    <t>센트럴파크역 가맹점 전무하여 도입 실패</t>
    <phoneticPr fontId="3" type="noConversion"/>
  </si>
  <si>
    <t>우희승</t>
    <phoneticPr fontId="3" type="noConversion"/>
  </si>
  <si>
    <t>010-2465-1983</t>
    <phoneticPr fontId="3" type="noConversion"/>
  </si>
  <si>
    <t> geunhee@sncokrea.com</t>
    <phoneticPr fontId="3" type="noConversion"/>
  </si>
  <si>
    <t>arjo@conextt.com</t>
    <phoneticPr fontId="3" type="noConversion"/>
  </si>
  <si>
    <t>'hrchoi@smpower.kr'</t>
    <phoneticPr fontId="3" type="noConversion"/>
  </si>
  <si>
    <t>redfox330204@naver.com</t>
    <phoneticPr fontId="3" type="noConversion"/>
  </si>
  <si>
    <t>yhcho@miratek.co.kr</t>
    <phoneticPr fontId="3" type="noConversion"/>
  </si>
  <si>
    <t>jungmin.je@vph.com</t>
    <phoneticPr fontId="3" type="noConversion"/>
  </si>
  <si>
    <t>khsongk@pppp.im</t>
    <phoneticPr fontId="3" type="noConversion"/>
  </si>
  <si>
    <t>oej0624@naver.com</t>
    <phoneticPr fontId="3" type="noConversion"/>
  </si>
  <si>
    <t>Jooheon.Park@babcockinternational.com</t>
    <phoneticPr fontId="3" type="noConversion"/>
  </si>
  <si>
    <t> yspark@idong-suh.com</t>
    <phoneticPr fontId="3" type="noConversion"/>
  </si>
  <si>
    <t>yjjung@cswind.com</t>
    <phoneticPr fontId="3" type="noConversion"/>
  </si>
  <si>
    <t>hnryu@hancomacademy.com</t>
    <phoneticPr fontId="3" type="noConversion"/>
  </si>
  <si>
    <t> hj.han@wnytech.co.kr</t>
    <phoneticPr fontId="3" type="noConversion"/>
  </si>
  <si>
    <t>imbio02@immunisbio.com</t>
    <phoneticPr fontId="3" type="noConversion"/>
  </si>
  <si>
    <t>net230@hyun-jin.com</t>
    <phoneticPr fontId="3" type="noConversion"/>
  </si>
  <si>
    <t>khkim@checkmal.com</t>
    <phoneticPr fontId="3" type="noConversion"/>
  </si>
  <si>
    <t>sejinsports2018@naver.com</t>
    <phoneticPr fontId="3" type="noConversion"/>
  </si>
  <si>
    <t xml:space="preserve">luis@dbdk.io 
</t>
    <phoneticPr fontId="3" type="noConversion"/>
  </si>
  <si>
    <t>인당 월 상여포인트 지급 (연 5천만)</t>
    <phoneticPr fontId="3" type="noConversion"/>
  </si>
  <si>
    <t>이승준</t>
    <phoneticPr fontId="3" type="noConversion"/>
  </si>
  <si>
    <t>010-2713-5454</t>
    <phoneticPr fontId="3" type="noConversion"/>
  </si>
  <si>
    <t>광명</t>
    <phoneticPr fontId="3" type="noConversion"/>
  </si>
  <si>
    <t>인당 연 240만원 (연 1,700만)</t>
    <phoneticPr fontId="3" type="noConversion"/>
  </si>
  <si>
    <t>홍선옥</t>
    <phoneticPr fontId="3" type="noConversion"/>
  </si>
  <si>
    <t>010-3045-2718</t>
    <phoneticPr fontId="3" type="noConversion"/>
  </si>
  <si>
    <t>네뷸라엑스</t>
    <phoneticPr fontId="3" type="noConversion"/>
  </si>
  <si>
    <t>이지환</t>
    <phoneticPr fontId="3" type="noConversion"/>
  </si>
  <si>
    <t>010-2813-3903</t>
    <phoneticPr fontId="3" type="noConversion"/>
  </si>
  <si>
    <t>SK증권</t>
    <phoneticPr fontId="3" type="noConversion"/>
  </si>
  <si>
    <t>인당 연 100만원 (연 8억)</t>
    <phoneticPr fontId="3" type="noConversion"/>
  </si>
  <si>
    <t>곽보배</t>
    <phoneticPr fontId="3" type="noConversion"/>
  </si>
  <si>
    <t>02-3773-9139</t>
    <phoneticPr fontId="3" type="noConversion"/>
  </si>
  <si>
    <t>사보이호텔</t>
    <phoneticPr fontId="3" type="noConversion"/>
  </si>
  <si>
    <t>인당 월 20만원 (월 400만)</t>
    <phoneticPr fontId="3" type="noConversion"/>
  </si>
  <si>
    <t>김해경</t>
    <phoneticPr fontId="3" type="noConversion"/>
  </si>
  <si>
    <t>02-772-7756</t>
    <phoneticPr fontId="3" type="noConversion"/>
  </si>
  <si>
    <t>프로메디우스</t>
    <phoneticPr fontId="3" type="noConversion"/>
  </si>
  <si>
    <t>임아영</t>
    <phoneticPr fontId="3" type="noConversion"/>
  </si>
  <si>
    <t>010-5610-0126</t>
    <phoneticPr fontId="3" type="noConversion"/>
  </si>
  <si>
    <t>디엘로지스코리아</t>
    <phoneticPr fontId="3" type="noConversion"/>
  </si>
  <si>
    <t>강동</t>
    <phoneticPr fontId="3" type="noConversion"/>
  </si>
  <si>
    <t>김동민</t>
    <phoneticPr fontId="3" type="noConversion"/>
  </si>
  <si>
    <t>010-9930-0681</t>
    <phoneticPr fontId="3" type="noConversion"/>
  </si>
  <si>
    <t>벨로프랩</t>
    <phoneticPr fontId="3" type="noConversion"/>
  </si>
  <si>
    <t>인당 일 1만원 (월 120만)</t>
    <phoneticPr fontId="3" type="noConversion"/>
  </si>
  <si>
    <t>이석경</t>
    <phoneticPr fontId="3" type="noConversion"/>
  </si>
  <si>
    <t>010-7294-6987</t>
    <phoneticPr fontId="3" type="noConversion"/>
  </si>
  <si>
    <t>셀트리온</t>
    <phoneticPr fontId="3" type="noConversion"/>
  </si>
  <si>
    <t>구내식당 페이코 식권 도입 검토 중 (월 6억)</t>
    <phoneticPr fontId="3" type="noConversion"/>
  </si>
  <si>
    <t>문채림</t>
    <phoneticPr fontId="3" type="noConversion"/>
  </si>
  <si>
    <t>010-4820-0379</t>
    <phoneticPr fontId="3" type="noConversion"/>
  </si>
  <si>
    <t>차이커뮤니케이션</t>
    <phoneticPr fontId="3" type="noConversion"/>
  </si>
  <si>
    <t>양지원</t>
    <phoneticPr fontId="3" type="noConversion"/>
  </si>
  <si>
    <t>010-8823-5560</t>
    <phoneticPr fontId="3" type="noConversion"/>
  </si>
  <si>
    <t>디노티시아</t>
    <phoneticPr fontId="3" type="noConversion"/>
  </si>
  <si>
    <t>손성용</t>
    <phoneticPr fontId="3" type="noConversion"/>
  </si>
  <si>
    <t>010-4437-8184</t>
    <phoneticPr fontId="3" type="noConversion"/>
  </si>
  <si>
    <t>크로니텍</t>
    <phoneticPr fontId="3" type="noConversion"/>
  </si>
  <si>
    <t>안양</t>
    <phoneticPr fontId="3" type="noConversion"/>
  </si>
  <si>
    <t>김수경</t>
    <phoneticPr fontId="3" type="noConversion"/>
  </si>
  <si>
    <t>010-6835-2471</t>
    <phoneticPr fontId="3" type="noConversion"/>
  </si>
  <si>
    <t>admin@cronytek.com</t>
    <phoneticPr fontId="3" type="noConversion"/>
  </si>
  <si>
    <t>pigjiwon@artistchai.co.kr</t>
    <phoneticPr fontId="3" type="noConversion"/>
  </si>
  <si>
    <t>페이지랩의원</t>
    <phoneticPr fontId="3" type="noConversion"/>
  </si>
  <si>
    <t>서진솔</t>
    <phoneticPr fontId="3" type="noConversion"/>
  </si>
  <si>
    <t>010-3475-6676</t>
    <phoneticPr fontId="3" type="noConversion"/>
  </si>
  <si>
    <t>peterpan@c2design.co.kr</t>
    <phoneticPr fontId="3" type="noConversion"/>
  </si>
  <si>
    <t>hso2707@naver.com</t>
    <phoneticPr fontId="3" type="noConversion"/>
  </si>
  <si>
    <t>stave.lee@nebulaxcorp.com</t>
    <phoneticPr fontId="3" type="noConversion"/>
  </si>
  <si>
    <t>bobae77@sks.co.kr</t>
    <phoneticPr fontId="3" type="noConversion"/>
  </si>
  <si>
    <t>khg@savoy.co.kr</t>
    <phoneticPr fontId="3" type="noConversion"/>
  </si>
  <si>
    <t>aylim@promedius.ai</t>
    <phoneticPr fontId="3" type="noConversion"/>
  </si>
  <si>
    <t>dmkim@dllogis.co.kr</t>
    <phoneticPr fontId="3" type="noConversion"/>
  </si>
  <si>
    <t>skyi@velope.co.kr</t>
    <phoneticPr fontId="3" type="noConversion"/>
  </si>
  <si>
    <t> chaelim.moon@celltrion.com</t>
    <phoneticPr fontId="3" type="noConversion"/>
  </si>
  <si>
    <t>eddieson@dnotitia.com</t>
    <phoneticPr fontId="3" type="noConversion"/>
  </si>
  <si>
    <t> jinsolicious@naver.com</t>
    <phoneticPr fontId="3" type="noConversion"/>
  </si>
  <si>
    <t>두영씨앤알</t>
    <phoneticPr fontId="3" type="noConversion"/>
  </si>
  <si>
    <t>동물성유지제조업</t>
    <phoneticPr fontId="3" type="noConversion"/>
  </si>
  <si>
    <t>김해시</t>
    <phoneticPr fontId="3" type="noConversion"/>
  </si>
  <si>
    <t>유천바이오텍</t>
    <phoneticPr fontId="3" type="noConversion"/>
  </si>
  <si>
    <t>가공유지제조업</t>
    <phoneticPr fontId="3" type="noConversion"/>
  </si>
  <si>
    <t>페이지랩</t>
    <phoneticPr fontId="3" type="noConversion"/>
  </si>
  <si>
    <t>제약보건바이오</t>
    <phoneticPr fontId="3" type="noConversion"/>
  </si>
  <si>
    <t>금강주택 인천가정</t>
    <phoneticPr fontId="3" type="noConversion"/>
  </si>
  <si>
    <t>상반기</t>
    <phoneticPr fontId="3" type="noConversion"/>
  </si>
  <si>
    <t>하반기</t>
    <phoneticPr fontId="3" type="noConversion"/>
  </si>
  <si>
    <t>ITW건화</t>
    <phoneticPr fontId="3" type="noConversion"/>
  </si>
  <si>
    <t>씨어스테크놀로지</t>
    <phoneticPr fontId="3" type="noConversion"/>
  </si>
  <si>
    <t>평택</t>
    <phoneticPr fontId="3" type="noConversion"/>
  </si>
  <si>
    <t>인당 월 25만원 지급 (월 2,500만)</t>
    <phoneticPr fontId="3" type="noConversion"/>
  </si>
  <si>
    <t>최하현</t>
    <phoneticPr fontId="3" type="noConversion"/>
  </si>
  <si>
    <t>010-3213-1366</t>
    <phoneticPr fontId="3" type="noConversion"/>
  </si>
  <si>
    <t>zoey.choi@seerstech.com</t>
    <phoneticPr fontId="3" type="noConversion"/>
  </si>
  <si>
    <t>지방행정발전연구원</t>
    <phoneticPr fontId="3" type="noConversion"/>
  </si>
  <si>
    <t>김경아</t>
    <phoneticPr fontId="3" type="noConversion"/>
  </si>
  <si>
    <t>010-7670-1991</t>
    <phoneticPr fontId="3" type="noConversion"/>
  </si>
  <si>
    <t>kim150817@naver.com</t>
    <phoneticPr fontId="3" type="noConversion"/>
  </si>
  <si>
    <t>에어키친</t>
    <phoneticPr fontId="3" type="noConversion"/>
  </si>
  <si>
    <t>조은지</t>
    <phoneticPr fontId="3" type="noConversion"/>
  </si>
  <si>
    <t>010-2058-0467</t>
    <phoneticPr fontId="3" type="noConversion"/>
  </si>
  <si>
    <t>eunji.jo@airkitchen.com</t>
    <phoneticPr fontId="3" type="noConversion"/>
  </si>
  <si>
    <t>농업회사법인푸른들</t>
    <phoneticPr fontId="3" type="noConversion"/>
  </si>
  <si>
    <t>이원훈</t>
    <phoneticPr fontId="3" type="noConversion"/>
  </si>
  <si>
    <t>010-2791-5997</t>
    <phoneticPr fontId="3" type="noConversion"/>
  </si>
  <si>
    <t>서울투자진흥재단</t>
    <phoneticPr fontId="3" type="noConversion"/>
  </si>
  <si>
    <t>상세 정책 미정, 서울시 출범재단</t>
    <phoneticPr fontId="3" type="noConversion"/>
  </si>
  <si>
    <t>이준환</t>
    <phoneticPr fontId="3" type="noConversion"/>
  </si>
  <si>
    <t>02-2133-4762</t>
    <phoneticPr fontId="3" type="noConversion"/>
  </si>
  <si>
    <t>coolluck@seoul.go.kr</t>
    <phoneticPr fontId="3" type="noConversion"/>
  </si>
  <si>
    <t>사유 : 압구정역 인근 가맹점 전무하여 도입불가</t>
    <phoneticPr fontId="3" type="noConversion"/>
  </si>
  <si>
    <t>대한항공(개화산)</t>
    <phoneticPr fontId="3" type="noConversion"/>
  </si>
  <si>
    <t>항공운송지원서비스업</t>
    <phoneticPr fontId="3" type="noConversion"/>
  </si>
  <si>
    <t>시설유지관리서비스업</t>
    <phoneticPr fontId="3" type="noConversion"/>
  </si>
  <si>
    <t>도입비</t>
    <phoneticPr fontId="3" type="noConversion"/>
  </si>
  <si>
    <t>에어인천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</si>
  <si>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>PAYCO 목표성과</t>
    </r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</si>
  <si>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>PAYCO 오픈현황</t>
    </r>
    <phoneticPr fontId="3" type="noConversion"/>
  </si>
  <si>
    <t>항공화물운송업</t>
    <phoneticPr fontId="3" type="noConversion"/>
  </si>
  <si>
    <t>유니에스(한가족서비스)</t>
    <phoneticPr fontId="3" type="noConversion"/>
  </si>
  <si>
    <t>컴퓨터부품도소매업</t>
    <phoneticPr fontId="3" type="noConversion"/>
  </si>
  <si>
    <t>코리아토탈엔지니어링</t>
    <phoneticPr fontId="3" type="noConversion"/>
  </si>
  <si>
    <t>추진주</t>
    <phoneticPr fontId="3" type="noConversion"/>
  </si>
  <si>
    <t>051-974-1388</t>
    <phoneticPr fontId="3" type="noConversion"/>
  </si>
  <si>
    <t>현금 지급하던 상여금 PAYCO 전환 검토 중 (상세 금액 미정)</t>
    <phoneticPr fontId="3" type="noConversion"/>
  </si>
  <si>
    <t>에이스휴먼파워</t>
    <phoneticPr fontId="3" type="noConversion"/>
  </si>
  <si>
    <t>안은혜</t>
    <phoneticPr fontId="3" type="noConversion"/>
  </si>
  <si>
    <t>010-7919-6977</t>
    <phoneticPr fontId="3" type="noConversion"/>
  </si>
  <si>
    <t>케이에이치필룩스</t>
    <phoneticPr fontId="3" type="noConversion"/>
  </si>
  <si>
    <t>노원</t>
    <phoneticPr fontId="3" type="noConversion"/>
  </si>
  <si>
    <t>곽동우</t>
    <phoneticPr fontId="3" type="noConversion"/>
  </si>
  <si>
    <t>010-2916-8142</t>
    <phoneticPr fontId="3" type="noConversion"/>
  </si>
  <si>
    <t>dwkwak@feelux.com</t>
    <phoneticPr fontId="3" type="noConversion"/>
  </si>
  <si>
    <t>유니온페이인터내셔널</t>
    <phoneticPr fontId="3" type="noConversion"/>
  </si>
  <si>
    <t>우상은</t>
    <phoneticPr fontId="3" type="noConversion"/>
  </si>
  <si>
    <t>010-8006-7641</t>
    <phoneticPr fontId="3" type="noConversion"/>
  </si>
  <si>
    <t>woosangeun@unionpayintl.com</t>
    <phoneticPr fontId="3" type="noConversion"/>
  </si>
  <si>
    <t>식신 도입 확정</t>
    <phoneticPr fontId="3" type="noConversion"/>
  </si>
  <si>
    <t>사유 : 남부터미널 인근 가맹점 부족하여 식신 확정</t>
    <phoneticPr fontId="3" type="noConversion"/>
  </si>
  <si>
    <t>주택도시보증공사 경기관리센터</t>
    <phoneticPr fontId="3" type="noConversion"/>
  </si>
  <si>
    <t>야근식대 PAYCO 전환 검토 중 (월 500만)</t>
    <phoneticPr fontId="3" type="noConversion"/>
  </si>
  <si>
    <t>강여민 주임</t>
    <phoneticPr fontId="3" type="noConversion"/>
  </si>
  <si>
    <t>010-2413-6478</t>
    <phoneticPr fontId="3" type="noConversion"/>
  </si>
  <si>
    <t>dks6977@naver.com</t>
    <phoneticPr fontId="3" type="noConversion"/>
  </si>
  <si>
    <t>파워세미큐즈</t>
    <phoneticPr fontId="3" type="noConversion"/>
  </si>
  <si>
    <t>성남</t>
    <phoneticPr fontId="3" type="noConversion"/>
  </si>
  <si>
    <t>종이장부 PAYCO 전환 검토 중 (월 400만)</t>
    <phoneticPr fontId="3" type="noConversion"/>
  </si>
  <si>
    <t>김영일</t>
    <phoneticPr fontId="3" type="noConversion"/>
  </si>
  <si>
    <t>010-2517-0125</t>
    <phoneticPr fontId="3" type="noConversion"/>
  </si>
  <si>
    <t xml:space="preserve">yikim@powercubesemi.com 
</t>
    <phoneticPr fontId="3" type="noConversion"/>
  </si>
  <si>
    <t>씨에이치디</t>
    <phoneticPr fontId="3" type="noConversion"/>
  </si>
  <si>
    <t>임주희</t>
    <phoneticPr fontId="3" type="noConversion"/>
  </si>
  <si>
    <t>070-4035-8643</t>
    <phoneticPr fontId="3" type="noConversion"/>
  </si>
  <si>
    <t>juheyim@chdmedics.com</t>
    <phoneticPr fontId="3" type="noConversion"/>
  </si>
  <si>
    <t>smilekym06@khug.or.kr</t>
    <phoneticPr fontId="3" type="noConversion"/>
  </si>
  <si>
    <t>인당 일 8천원 식대 지급 검토 중, 26년 4월 도입 목표 (월 4천만원)</t>
    <phoneticPr fontId="3" type="noConversion"/>
  </si>
  <si>
    <t>정호영</t>
    <phoneticPr fontId="3" type="noConversion"/>
  </si>
  <si>
    <t>010-6489-3713</t>
    <phoneticPr fontId="3" type="noConversion"/>
  </si>
  <si>
    <t>jhy@jinhak.com</t>
    <phoneticPr fontId="3" type="noConversion"/>
  </si>
  <si>
    <t>한홍비</t>
    <phoneticPr fontId="3" type="noConversion"/>
  </si>
  <si>
    <t>인당 일 8천원 (월 200만)</t>
    <phoneticPr fontId="3" type="noConversion"/>
  </si>
  <si>
    <t>010-6828-8572</t>
    <phoneticPr fontId="3" type="noConversion"/>
  </si>
  <si>
    <t>hongbi.han@didenrobotics.com</t>
    <phoneticPr fontId="3" type="noConversion"/>
  </si>
  <si>
    <t>'kte2012@koreatotal.net'</t>
    <phoneticPr fontId="3" type="noConversion"/>
  </si>
  <si>
    <t>디든로보틱스</t>
    <phoneticPr fontId="3" type="noConversion"/>
  </si>
  <si>
    <t>라카코스메틱스</t>
    <phoneticPr fontId="3" type="noConversion"/>
  </si>
  <si>
    <t>인당 월 30만 복지포인트 지급 (월 1천만)</t>
    <phoneticPr fontId="3" type="noConversion"/>
  </si>
  <si>
    <t>김중쳥</t>
    <phoneticPr fontId="3" type="noConversion"/>
  </si>
  <si>
    <t>010-3445-56.34</t>
    <phoneticPr fontId="3" type="noConversion"/>
  </si>
  <si>
    <t>jykim@laka.co.kr</t>
    <phoneticPr fontId="3" type="noConversion"/>
  </si>
  <si>
    <t>우성</t>
    <phoneticPr fontId="3" type="noConversion"/>
  </si>
  <si>
    <t>동탄</t>
    <phoneticPr fontId="3" type="noConversion"/>
  </si>
  <si>
    <t>종이장부 PAYCO 전환 검토 중 (월 1,200만)</t>
    <phoneticPr fontId="3" type="noConversion"/>
  </si>
  <si>
    <t>박대성</t>
    <phoneticPr fontId="3" type="noConversion"/>
  </si>
  <si>
    <t>010-5525-2687</t>
    <phoneticPr fontId="3" type="noConversion"/>
  </si>
  <si>
    <t>dspark@woosung.kr</t>
    <phoneticPr fontId="3" type="noConversion"/>
  </si>
  <si>
    <t>도프텍</t>
    <phoneticPr fontId="3" type="noConversion"/>
  </si>
  <si>
    <t>황영진</t>
    <phoneticPr fontId="3" type="noConversion"/>
  </si>
  <si>
    <t>010-3213-5468</t>
    <phoneticPr fontId="3" type="noConversion"/>
  </si>
  <si>
    <t>hwang5468@doftech.co.kr</t>
    <phoneticPr fontId="3" type="noConversion"/>
  </si>
  <si>
    <t>비마이프렌즈</t>
    <phoneticPr fontId="3" type="noConversion"/>
  </si>
  <si>
    <t>인다 일 1만원 (식권대장 이용 중)</t>
    <phoneticPr fontId="3" type="noConversion"/>
  </si>
  <si>
    <t>김진환</t>
    <phoneticPr fontId="3" type="noConversion"/>
  </si>
  <si>
    <t>010-6462-4658</t>
    <phoneticPr fontId="3" type="noConversion"/>
  </si>
  <si>
    <t>justin@bemyfriends.com</t>
    <phoneticPr fontId="3" type="noConversion"/>
  </si>
  <si>
    <t>한국공예디자인문화진흥원</t>
    <phoneticPr fontId="3" type="noConversion"/>
  </si>
  <si>
    <t>황호빈</t>
    <phoneticPr fontId="3" type="noConversion"/>
  </si>
  <si>
    <t>010-9004-8921</t>
    <phoneticPr fontId="3" type="noConversion"/>
  </si>
  <si>
    <t>h337@kcdf.kr</t>
    <phoneticPr fontId="3" type="noConversion"/>
  </si>
  <si>
    <t>웅진씽크빅</t>
    <phoneticPr fontId="3" type="noConversion"/>
  </si>
  <si>
    <t>상세 정책 미정 (식권대장, 식신, 올리브식권 비딩 중)</t>
    <phoneticPr fontId="3" type="noConversion"/>
  </si>
  <si>
    <t>오상현</t>
    <phoneticPr fontId="3" type="noConversion"/>
  </si>
  <si>
    <t>010-8572-4788</t>
    <phoneticPr fontId="3" type="noConversion"/>
  </si>
  <si>
    <t>shoh@wjthinkbig.com</t>
    <phoneticPr fontId="3" type="noConversion"/>
  </si>
  <si>
    <t>한국특허전략개발원</t>
    <phoneticPr fontId="3" type="noConversion"/>
  </si>
  <si>
    <t>문체부 산하. 종이장부 PAYCO 전환 검토 중, 야근식대 (월 20~30만원)</t>
    <phoneticPr fontId="3" type="noConversion"/>
  </si>
  <si>
    <t>강남, 대전</t>
    <phoneticPr fontId="3" type="noConversion"/>
  </si>
  <si>
    <t>특허청 산하, 종이장부 PAYCO 전환 검토 중 (월 1백만)</t>
    <phoneticPr fontId="3" type="noConversion"/>
  </si>
  <si>
    <t>예인호</t>
    <phoneticPr fontId="3" type="noConversion"/>
  </si>
  <si>
    <t>010-6357-7398</t>
    <phoneticPr fontId="3" type="noConversion"/>
  </si>
  <si>
    <t>inhoya22@kista.re.kr</t>
    <phoneticPr fontId="3" type="noConversion"/>
  </si>
  <si>
    <t>루시드랩</t>
    <phoneticPr fontId="3" type="noConversion"/>
  </si>
  <si>
    <t>한식뷔페 월 정산 중 (월 약 1백만), 식권대장 비딩</t>
    <phoneticPr fontId="3" type="noConversion"/>
  </si>
  <si>
    <t>전서영</t>
    <phoneticPr fontId="3" type="noConversion"/>
  </si>
  <si>
    <t>010-6420-2840</t>
    <phoneticPr fontId="3" type="noConversion"/>
  </si>
  <si>
    <t>tjdud0824@lucidlab.co.kr</t>
    <phoneticPr fontId="3" type="noConversion"/>
  </si>
  <si>
    <t>서울, 가산 등</t>
    <phoneticPr fontId="3" type="noConversion"/>
  </si>
  <si>
    <t>월 16만원 식대 지급 중 (월 2천만)</t>
    <phoneticPr fontId="3" type="noConversion"/>
  </si>
  <si>
    <t>박민지</t>
    <phoneticPr fontId="3" type="noConversion"/>
  </si>
  <si>
    <t>010-8222-9741</t>
    <phoneticPr fontId="3" type="noConversion"/>
  </si>
  <si>
    <t>mj.park@interxlab.com</t>
    <phoneticPr fontId="3" type="noConversion"/>
  </si>
  <si>
    <t>퍼플리쉬</t>
    <phoneticPr fontId="3" type="noConversion"/>
  </si>
  <si>
    <t>화장품도소매업</t>
    <phoneticPr fontId="3" type="noConversion"/>
  </si>
  <si>
    <t>언니</t>
    <phoneticPr fontId="3" type="noConversion"/>
  </si>
  <si>
    <t>에넥스텔레콤</t>
    <phoneticPr fontId="3" type="noConversion"/>
  </si>
  <si>
    <t>금강주택(동탄2개)</t>
    <phoneticPr fontId="3" type="noConversion"/>
  </si>
  <si>
    <t>유락</t>
    <phoneticPr fontId="3" type="noConversion"/>
  </si>
  <si>
    <t>레스타덱세리얼즈코리아</t>
    <phoneticPr fontId="3" type="noConversion"/>
  </si>
  <si>
    <t>최은영</t>
    <phoneticPr fontId="3" type="noConversion"/>
  </si>
  <si>
    <t>070-4002-8550</t>
    <phoneticPr fontId="3" type="noConversion"/>
  </si>
  <si>
    <t>eychoi@annextele.com</t>
    <phoneticPr fontId="3" type="noConversion"/>
  </si>
  <si>
    <t>회게법인 마일스톤</t>
    <phoneticPr fontId="3" type="noConversion"/>
  </si>
  <si>
    <t>김상기</t>
    <phoneticPr fontId="3" type="noConversion"/>
  </si>
  <si>
    <t>010-4156-9537</t>
    <phoneticPr fontId="3" type="noConversion"/>
  </si>
  <si>
    <t>sang@mstacc.com</t>
    <phoneticPr fontId="3" type="noConversion"/>
  </si>
  <si>
    <t>동아미디어앤</t>
    <phoneticPr fontId="3" type="noConversion"/>
  </si>
  <si>
    <t>서대문</t>
    <phoneticPr fontId="3" type="noConversion"/>
  </si>
  <si>
    <t>유한울</t>
    <phoneticPr fontId="3" type="noConversion"/>
  </si>
  <si>
    <t>010-4519-6468</t>
    <phoneticPr fontId="3" type="noConversion"/>
  </si>
  <si>
    <t>가우쉬틸리온코리아</t>
    <phoneticPr fontId="3" type="noConversion"/>
  </si>
  <si>
    <t>김지연</t>
    <phoneticPr fontId="3" type="noConversion"/>
  </si>
  <si>
    <t>010-8629-7925</t>
    <phoneticPr fontId="3" type="noConversion"/>
  </si>
  <si>
    <t>명동엔지니어링</t>
    <phoneticPr fontId="3" type="noConversion"/>
  </si>
  <si>
    <t>반혜영</t>
    <phoneticPr fontId="3" type="noConversion"/>
  </si>
  <si>
    <t>010-9163-0294</t>
    <phoneticPr fontId="3" type="noConversion"/>
  </si>
  <si>
    <t>banbanhada34@naver.com</t>
    <phoneticPr fontId="3" type="noConversion"/>
  </si>
  <si>
    <t>케이제이엠아이</t>
    <phoneticPr fontId="3" type="noConversion"/>
  </si>
  <si>
    <t>당진시</t>
    <phoneticPr fontId="3" type="noConversion"/>
  </si>
  <si>
    <t>김아람</t>
    <phoneticPr fontId="3" type="noConversion"/>
  </si>
  <si>
    <t>kjmi9157@daum.net</t>
    <phoneticPr fontId="3" type="noConversion"/>
  </si>
  <si>
    <t>070-4617-7313</t>
    <phoneticPr fontId="3" type="noConversion"/>
  </si>
  <si>
    <t>인당 월 20만원 식대 지원 검토 중 (월 1천만)</t>
    <phoneticPr fontId="3" type="noConversion"/>
  </si>
  <si>
    <t>토크펀</t>
    <phoneticPr fontId="3" type="noConversion"/>
  </si>
  <si>
    <t>인당 월 10만원 + 생일, 상여금 (연 400만)</t>
    <phoneticPr fontId="3" type="noConversion"/>
  </si>
  <si>
    <t>이은주</t>
    <phoneticPr fontId="3" type="noConversion"/>
  </si>
  <si>
    <t>010-6489-0450</t>
    <phoneticPr fontId="3" type="noConversion"/>
  </si>
  <si>
    <t>인당 연 100만원 (연 400만원)</t>
    <phoneticPr fontId="3" type="noConversion"/>
  </si>
  <si>
    <t>손미정</t>
    <phoneticPr fontId="3" type="noConversion"/>
  </si>
  <si>
    <t>02-6467-9413</t>
    <phoneticPr fontId="3" type="noConversion"/>
  </si>
  <si>
    <t>mjson@dexerials.com</t>
    <phoneticPr fontId="3" type="noConversion"/>
  </si>
  <si>
    <t>쓰리젯</t>
    <phoneticPr fontId="3" type="noConversion"/>
  </si>
  <si>
    <t>임형남</t>
    <phoneticPr fontId="3" type="noConversion"/>
  </si>
  <si>
    <t>010-5566-3014</t>
    <phoneticPr fontId="3" type="noConversion"/>
  </si>
  <si>
    <t>snug83@3zvalve.com</t>
    <phoneticPr fontId="3" type="noConversion"/>
  </si>
  <si>
    <t>인당 월 30만원 (연 360만원)</t>
    <phoneticPr fontId="3" type="noConversion"/>
  </si>
  <si>
    <t>박승은</t>
    <phoneticPr fontId="3" type="noConversion"/>
  </si>
  <si>
    <t>010-2458-2002</t>
    <phoneticPr fontId="3" type="noConversion"/>
  </si>
  <si>
    <t>젠젠에이아이</t>
    <phoneticPr fontId="3" type="noConversion"/>
  </si>
  <si>
    <t>인당 연 100만원 (연 3,500만)</t>
    <phoneticPr fontId="3" type="noConversion"/>
  </si>
  <si>
    <t>김장미</t>
    <phoneticPr fontId="3" type="noConversion"/>
  </si>
  <si>
    <t>010-6369-2262</t>
    <phoneticPr fontId="3" type="noConversion"/>
  </si>
  <si>
    <t>jamie.kim@gengen.ai</t>
    <phoneticPr fontId="3" type="noConversion"/>
  </si>
  <si>
    <t>원앤코</t>
    <phoneticPr fontId="3" type="noConversion"/>
  </si>
  <si>
    <t>김다솔</t>
    <phoneticPr fontId="3" type="noConversion"/>
  </si>
  <si>
    <t>010-2846-6415</t>
    <phoneticPr fontId="3" type="noConversion"/>
  </si>
  <si>
    <t xml:space="preserve">hr@lavoir.kr  </t>
    <phoneticPr fontId="3" type="noConversion"/>
  </si>
  <si>
    <t>가람감정평가법인 동부지사</t>
    <phoneticPr fontId="3" type="noConversion"/>
  </si>
  <si>
    <t>안지성</t>
    <phoneticPr fontId="3" type="noConversion"/>
  </si>
  <si>
    <t>010-2922-0460</t>
    <phoneticPr fontId="3" type="noConversion"/>
  </si>
  <si>
    <t>kaaram04@bill36524.com</t>
    <phoneticPr fontId="3" type="noConversion"/>
  </si>
  <si>
    <t>씨앤알리서치</t>
    <phoneticPr fontId="3" type="noConversion"/>
  </si>
  <si>
    <t>임지영</t>
    <phoneticPr fontId="3" type="noConversion"/>
  </si>
  <si>
    <t>010-2342-2748</t>
    <phoneticPr fontId="3" type="noConversion"/>
  </si>
  <si>
    <t>jyim@cnrres.com</t>
    <phoneticPr fontId="3" type="noConversion"/>
  </si>
  <si>
    <t>제이영동고속도로</t>
    <phoneticPr fontId="3" type="noConversion"/>
  </si>
  <si>
    <t>곽혜은</t>
    <phoneticPr fontId="3" type="noConversion"/>
  </si>
  <si>
    <t>010-5003-3108</t>
    <phoneticPr fontId="3" type="noConversion"/>
  </si>
  <si>
    <t>kwak_hyeeun@naver.com</t>
    <phoneticPr fontId="3" type="noConversion"/>
  </si>
  <si>
    <t>동훈운수</t>
    <phoneticPr fontId="3" type="noConversion"/>
  </si>
  <si>
    <t>양천</t>
    <phoneticPr fontId="3" type="noConversion"/>
  </si>
  <si>
    <t>사내 음료자판기 및 라면자판기 간식대 도입 검토</t>
    <phoneticPr fontId="3" type="noConversion"/>
  </si>
  <si>
    <t>안문환</t>
    <phoneticPr fontId="3" type="noConversion"/>
  </si>
  <si>
    <t>010-5873-9810</t>
    <phoneticPr fontId="3" type="noConversion"/>
  </si>
  <si>
    <t>solitude98@kakao.com</t>
    <phoneticPr fontId="3" type="noConversion"/>
  </si>
  <si>
    <t>얌샘</t>
    <phoneticPr fontId="3" type="noConversion"/>
  </si>
  <si>
    <t>인당 연 30만원 (연 900만)</t>
    <phoneticPr fontId="3" type="noConversion"/>
  </si>
  <si>
    <t>현준미</t>
    <phoneticPr fontId="3" type="noConversion"/>
  </si>
  <si>
    <t>070-4150-2969</t>
    <phoneticPr fontId="3" type="noConversion"/>
  </si>
  <si>
    <t>hjm0511@yumsem.com</t>
    <phoneticPr fontId="3" type="noConversion"/>
  </si>
  <si>
    <t>아크론</t>
    <phoneticPr fontId="3" type="noConversion"/>
  </si>
  <si>
    <t>최동윤</t>
    <phoneticPr fontId="3" type="noConversion"/>
  </si>
  <si>
    <t>010-4843-5316</t>
    <phoneticPr fontId="3" type="noConversion"/>
  </si>
  <si>
    <t>dongyun_choi@akron.kr</t>
    <phoneticPr fontId="3" type="noConversion"/>
  </si>
  <si>
    <t>아캐인</t>
    <phoneticPr fontId="3" type="noConversion"/>
  </si>
  <si>
    <t>한남동</t>
    <phoneticPr fontId="3" type="noConversion"/>
  </si>
  <si>
    <t>강유영</t>
    <phoneticPr fontId="3" type="noConversion"/>
  </si>
  <si>
    <t>010-8695-7823</t>
    <phoneticPr fontId="3" type="noConversion"/>
  </si>
  <si>
    <t>yu0303@arkain.kr</t>
    <phoneticPr fontId="3" type="noConversion"/>
  </si>
  <si>
    <t>인당 연 200만원 + 특별상여 (연 70억)</t>
    <phoneticPr fontId="3" type="noConversion"/>
  </si>
  <si>
    <t>하유진</t>
    <phoneticPr fontId="3" type="noConversion"/>
  </si>
  <si>
    <t>010-2932-2259</t>
    <phoneticPr fontId="3" type="noConversion"/>
  </si>
  <si>
    <t>yoojin.ha@celltrion.com</t>
    <phoneticPr fontId="3" type="noConversion"/>
  </si>
  <si>
    <t>인당 월 20만원 (연 5천만)</t>
    <phoneticPr fontId="3" type="noConversion"/>
  </si>
  <si>
    <t>문연주</t>
    <phoneticPr fontId="3" type="noConversion"/>
  </si>
  <si>
    <t>010-6228-6656</t>
    <phoneticPr fontId="3" type="noConversion"/>
  </si>
  <si>
    <t>finance@urock.kr</t>
    <phoneticPr fontId="3" type="noConversion"/>
  </si>
  <si>
    <t>오가닉서라운딩</t>
    <phoneticPr fontId="3" type="noConversion"/>
  </si>
  <si>
    <t>박수현</t>
    <phoneticPr fontId="3" type="noConversion"/>
  </si>
  <si>
    <t>010-8847-4321</t>
    <phoneticPr fontId="3" type="noConversion"/>
  </si>
  <si>
    <t>suhyun.park@organic-surrounding.com</t>
    <phoneticPr fontId="3" type="noConversion"/>
  </si>
  <si>
    <t>콘웰</t>
    <phoneticPr fontId="3" type="noConversion"/>
  </si>
  <si>
    <t>한영심</t>
    <phoneticPr fontId="3" type="noConversion"/>
  </si>
  <si>
    <t>010-3612-2818</t>
    <phoneticPr fontId="3" type="noConversion"/>
  </si>
  <si>
    <t>hys@conwell.co.kr</t>
    <phoneticPr fontId="3" type="noConversion"/>
  </si>
  <si>
    <t>포인트모바일</t>
    <phoneticPr fontId="3" type="noConversion"/>
  </si>
  <si>
    <t>인당 8천원 ~ 1만원 식대 지원 (월 1,300만)</t>
    <phoneticPr fontId="3" type="noConversion"/>
  </si>
  <si>
    <t>인당 월 20만원 식대 지원 (월 3천만)</t>
    <phoneticPr fontId="3" type="noConversion"/>
  </si>
  <si>
    <t>박학선</t>
    <phoneticPr fontId="3" type="noConversion"/>
  </si>
  <si>
    <t>010-4622-4106</t>
    <phoneticPr fontId="3" type="noConversion"/>
  </si>
  <si>
    <t>hs.park@pointmobile.com</t>
    <phoneticPr fontId="3" type="noConversion"/>
  </si>
  <si>
    <t>사단법인 한국야구위원회</t>
    <phoneticPr fontId="3" type="noConversion"/>
  </si>
  <si>
    <t>서동하</t>
    <phoneticPr fontId="3" type="noConversion"/>
  </si>
  <si>
    <t>010-8938-9420</t>
    <phoneticPr fontId="3" type="noConversion"/>
  </si>
  <si>
    <t>sdh@koreabaseball.or.kr</t>
    <phoneticPr fontId="3" type="noConversion"/>
  </si>
  <si>
    <t>한국케이블티브이방송협회</t>
    <phoneticPr fontId="3" type="noConversion"/>
  </si>
  <si>
    <t>이상희</t>
    <phoneticPr fontId="3" type="noConversion"/>
  </si>
  <si>
    <t>010-9520-3935</t>
    <phoneticPr fontId="3" type="noConversion"/>
  </si>
  <si>
    <t>shlee@kcta.or.kr</t>
    <phoneticPr fontId="3" type="noConversion"/>
  </si>
  <si>
    <t>재단법인미지문화재단</t>
    <phoneticPr fontId="3" type="noConversion"/>
  </si>
  <si>
    <t>인당 월 20만원 식대 지원 (연 2,400만)</t>
    <phoneticPr fontId="3" type="noConversion"/>
  </si>
  <si>
    <t>최진희</t>
    <phoneticPr fontId="3" type="noConversion"/>
  </si>
  <si>
    <t>010-3307-1527</t>
    <phoneticPr fontId="3" type="noConversion"/>
  </si>
  <si>
    <t>메디쎄이</t>
    <phoneticPr fontId="3" type="noConversion"/>
  </si>
  <si>
    <t>충북 제천</t>
    <phoneticPr fontId="3" type="noConversion"/>
  </si>
  <si>
    <t>인당 연 36만원 복지포인트 지급 (연 3,600만)</t>
    <phoneticPr fontId="3" type="noConversion"/>
  </si>
  <si>
    <t>이정희</t>
    <phoneticPr fontId="3" type="noConversion"/>
  </si>
  <si>
    <t>010-7238-1258</t>
    <phoneticPr fontId="3" type="noConversion"/>
  </si>
  <si>
    <t>jeonghui.lee@medyssey.com</t>
    <phoneticPr fontId="3" type="noConversion"/>
  </si>
  <si>
    <t>베스트이노베이션</t>
    <phoneticPr fontId="3" type="noConversion"/>
  </si>
  <si>
    <t>서울,아산</t>
    <phoneticPr fontId="3" type="noConversion"/>
  </si>
  <si>
    <t>인당 일 1만원 식대 지원 (월 1,200만)</t>
    <phoneticPr fontId="3" type="noConversion"/>
  </si>
  <si>
    <t>010-4301-0233</t>
    <phoneticPr fontId="3" type="noConversion"/>
  </si>
  <si>
    <t>sjlee@bestinnovation.co.kr</t>
    <phoneticPr fontId="3" type="noConversion"/>
  </si>
  <si>
    <t>크리에이티브루트</t>
    <phoneticPr fontId="3" type="noConversion"/>
  </si>
  <si>
    <t>웅진씽크빅 협력업체, 인당 일 8천원 (월 100만원)</t>
    <phoneticPr fontId="3" type="noConversion"/>
  </si>
  <si>
    <t>윤세근</t>
    <phoneticPr fontId="3" type="noConversion"/>
  </si>
  <si>
    <t>010-2365-4595</t>
    <phoneticPr fontId="3" type="noConversion"/>
  </si>
  <si>
    <t>pave98@wjthinkbig.com</t>
    <phoneticPr fontId="3" type="noConversion"/>
  </si>
  <si>
    <t>jsp01084@dongamedian.com</t>
    <phoneticPr fontId="3" type="noConversion"/>
  </si>
  <si>
    <t>eva.kim@teleon-surgical.com</t>
    <phoneticPr fontId="3" type="noConversion"/>
  </si>
  <si>
    <t>eunju0120@naver.com</t>
    <phoneticPr fontId="3" type="noConversion"/>
  </si>
  <si>
    <t>jollwmwm@naver.com</t>
    <phoneticPr fontId="3" type="noConversion"/>
  </si>
  <si>
    <t>오픈비율</t>
    <phoneticPr fontId="3" type="noConversion"/>
  </si>
  <si>
    <t>NH농협생명</t>
    <phoneticPr fontId="3" type="noConversion"/>
  </si>
  <si>
    <t>생명보험업</t>
    <phoneticPr fontId="3" type="noConversion"/>
  </si>
  <si>
    <t>학습지및방문교육업</t>
    <phoneticPr fontId="3" type="noConversion"/>
  </si>
  <si>
    <t>에스앤코</t>
    <phoneticPr fontId="3" type="noConversion"/>
  </si>
  <si>
    <t>공연기획및제작업</t>
    <phoneticPr fontId="3" type="noConversion"/>
  </si>
  <si>
    <t>둔촌웰니스의원</t>
    <phoneticPr fontId="3" type="noConversion"/>
  </si>
  <si>
    <t>디지털포렌식솔루션전문업</t>
    <phoneticPr fontId="3" type="noConversion"/>
  </si>
  <si>
    <t>9월 중</t>
    <phoneticPr fontId="3" type="noConversion"/>
  </si>
  <si>
    <t>금강주택(마곡,군포)</t>
    <phoneticPr fontId="3" type="noConversion"/>
  </si>
  <si>
    <t>에어부산(밀쿠폰)</t>
    <phoneticPr fontId="3" type="noConversion"/>
  </si>
  <si>
    <t>이스타항공(밀쿠폰)</t>
    <phoneticPr fontId="3" type="noConversion"/>
  </si>
  <si>
    <t>에어캐나다(밀쿠폰)</t>
    <phoneticPr fontId="3" type="noConversion"/>
  </si>
  <si>
    <t>유니에스(아시아나여객운송)</t>
    <phoneticPr fontId="3" type="noConversion"/>
  </si>
  <si>
    <t>전자상거래소매중개업</t>
    <phoneticPr fontId="3" type="noConversion"/>
  </si>
  <si>
    <t>전자제품도소매업</t>
    <phoneticPr fontId="3" type="noConversion"/>
  </si>
  <si>
    <t>모트렉스(이에프엠)</t>
    <phoneticPr fontId="3" type="noConversion"/>
  </si>
  <si>
    <t>모트렉스(에이디엠)</t>
    <phoneticPr fontId="3" type="noConversion"/>
  </si>
  <si>
    <t>헬러만타이툰</t>
    <phoneticPr fontId="3" type="noConversion"/>
  </si>
  <si>
    <t>석유화학제품제조업</t>
    <phoneticPr fontId="3" type="noConversion"/>
  </si>
  <si>
    <t>율그룹건축사사무소</t>
    <phoneticPr fontId="3" type="noConversion"/>
  </si>
  <si>
    <t>건축설계및설비업</t>
    <phoneticPr fontId="3" type="noConversion"/>
  </si>
  <si>
    <t>한글과컴퓨터</t>
    <phoneticPr fontId="3" type="noConversion"/>
  </si>
  <si>
    <t>런드리고(군포)</t>
    <phoneticPr fontId="3" type="noConversion"/>
  </si>
  <si>
    <t>대한항공(화물,정비)</t>
    <phoneticPr fontId="3" type="noConversion"/>
  </si>
  <si>
    <t>전국</t>
    <phoneticPr fontId="3" type="noConversion"/>
  </si>
  <si>
    <t>화물복지재단</t>
    <phoneticPr fontId="3" type="noConversion"/>
  </si>
  <si>
    <t>25년</t>
    <phoneticPr fontId="3" type="noConversion"/>
  </si>
  <si>
    <t>목표증가율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</si>
  <si>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>비즈플러스제휴팀 25년 매출목표 및 실적</t>
    </r>
    <phoneticPr fontId="3" type="noConversion"/>
  </si>
  <si>
    <t>25년
목표</t>
    <phoneticPr fontId="3" type="noConversion"/>
  </si>
  <si>
    <t>PAYCO기업복지</t>
    <phoneticPr fontId="3" type="noConversion"/>
  </si>
  <si>
    <t>영업목표 (월신규거래액)</t>
    <phoneticPr fontId="3" type="noConversion"/>
  </si>
  <si>
    <t>25년
실적
(예상)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</si>
  <si>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 xml:space="preserve">비즈플러스제휴팀 3개년 매출목표 </t>
    </r>
    <phoneticPr fontId="3" type="noConversion"/>
  </si>
  <si>
    <t>26년
목표</t>
    <phoneticPr fontId="3" type="noConversion"/>
  </si>
  <si>
    <t>매출원가 (50%)</t>
    <phoneticPr fontId="3" type="noConversion"/>
  </si>
  <si>
    <t>매출이익 (50%)</t>
    <phoneticPr fontId="3" type="noConversion"/>
  </si>
  <si>
    <t xml:space="preserve">* 26년 1월 매출원가 MF데이터 3% 인하 </t>
    <phoneticPr fontId="3" type="noConversion"/>
  </si>
  <si>
    <t>27년
목표</t>
    <phoneticPr fontId="3" type="noConversion"/>
  </si>
  <si>
    <t>매출원가 (48%)</t>
    <phoneticPr fontId="3" type="noConversion"/>
  </si>
  <si>
    <t>매출이익 (52%)</t>
    <phoneticPr fontId="3" type="noConversion"/>
  </si>
  <si>
    <t>* 27년 1월 매출원가 MF데이터 2% 추가인하 (25년 대비 총 5% 인하)</t>
    <phoneticPr fontId="3" type="noConversion"/>
  </si>
  <si>
    <t>28년
목표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</si>
  <si>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</t>
    </r>
    <r>
      <rPr>
        <b/>
        <sz val="9"/>
        <color theme="1"/>
        <rFont val="맑은 고딕"/>
        <family val="3"/>
        <charset val="129"/>
        <scheme val="minor"/>
      </rPr>
      <t>25년 매출상세</t>
    </r>
    <phoneticPr fontId="3" type="noConversion"/>
  </si>
  <si>
    <t>농축산업</t>
    <phoneticPr fontId="3" type="noConversion"/>
  </si>
  <si>
    <t>안산시</t>
    <phoneticPr fontId="3" type="noConversion"/>
  </si>
  <si>
    <t>이킴</t>
    <phoneticPr fontId="3" type="noConversion"/>
  </si>
  <si>
    <t>김치류제조업</t>
    <phoneticPr fontId="3" type="noConversion"/>
  </si>
  <si>
    <t>보은시</t>
    <phoneticPr fontId="3" type="noConversion"/>
  </si>
  <si>
    <t>기타협회및단체</t>
    <phoneticPr fontId="3" type="noConversion"/>
  </si>
  <si>
    <t>푸른들사내근로복지기금</t>
    <phoneticPr fontId="3" type="noConversion"/>
  </si>
  <si>
    <t>한국정보처리학회</t>
    <phoneticPr fontId="3" type="noConversion"/>
  </si>
  <si>
    <t>비영리법인</t>
    <phoneticPr fontId="3" type="noConversion"/>
  </si>
  <si>
    <t>용산구</t>
    <phoneticPr fontId="3" type="noConversion"/>
  </si>
  <si>
    <t>소프트웨어개발공급업</t>
    <phoneticPr fontId="3" type="noConversion"/>
  </si>
  <si>
    <t>프랑스 본사 측 결제 지연, 본사 승인 후 오픈진행 예정</t>
    <phoneticPr fontId="3" type="noConversion"/>
  </si>
  <si>
    <t>사내근로복지기금 4개 법인 순차 오픈 진행 중</t>
    <phoneticPr fontId="3" type="noConversion"/>
  </si>
  <si>
    <t>중국 본사 측 결제 지연, 본사 승인 후 오픈 진행 예정</t>
    <phoneticPr fontId="3" type="noConversion"/>
  </si>
  <si>
    <t>사유 : 내부 회계 처리 상, 식권 서비스 이용 불가</t>
    <phoneticPr fontId="3" type="noConversion"/>
  </si>
  <si>
    <t>사유 : 도입확정되었으나, 예산집행 불가 이슈로 홀딩</t>
    <phoneticPr fontId="3" type="noConversion"/>
  </si>
  <si>
    <t>사유 : 도입비 부담되어 도입 거절</t>
    <phoneticPr fontId="3" type="noConversion"/>
  </si>
  <si>
    <t>사유 : 타사(카드사) 도입 확정</t>
    <phoneticPr fontId="3" type="noConversion"/>
  </si>
  <si>
    <t>한양이앤지</t>
    <phoneticPr fontId="3" type="noConversion"/>
  </si>
  <si>
    <t>평택, 청주, 이천</t>
    <phoneticPr fontId="3" type="noConversion"/>
  </si>
  <si>
    <t>현장 파견직 50명 대상 식대 지원 검토 중 (월 800만)</t>
    <phoneticPr fontId="3" type="noConversion"/>
  </si>
  <si>
    <t>백인영</t>
    <phoneticPr fontId="3" type="noConversion"/>
  </si>
  <si>
    <t>010-2618-5750</t>
    <phoneticPr fontId="3" type="noConversion"/>
  </si>
  <si>
    <t>qordlsdud@hanyangeng.co.kr</t>
    <phoneticPr fontId="3" type="noConversion"/>
  </si>
  <si>
    <t>중일</t>
    <phoneticPr fontId="3" type="noConversion"/>
  </si>
  <si>
    <t>인당 연 50~100만원 복지포인트 지급 (연 5천만 ~ 1억)</t>
    <phoneticPr fontId="3" type="noConversion"/>
  </si>
  <si>
    <t>정이서</t>
    <phoneticPr fontId="3" type="noConversion"/>
  </si>
  <si>
    <t>010-3680-8910</t>
    <phoneticPr fontId="3" type="noConversion"/>
  </si>
  <si>
    <t>jks81@joong-il.com</t>
    <phoneticPr fontId="3" type="noConversion"/>
  </si>
  <si>
    <t>클래스어라운드</t>
    <phoneticPr fontId="3" type="noConversion"/>
  </si>
  <si>
    <t>인당 월 20만원 식대포인트 지급 검토 중 (월 500만)</t>
    <phoneticPr fontId="3" type="noConversion"/>
  </si>
  <si>
    <t>진종범</t>
    <phoneticPr fontId="3" type="noConversion"/>
  </si>
  <si>
    <t>010-4945-3873</t>
    <phoneticPr fontId="3" type="noConversion"/>
  </si>
  <si>
    <t>jbjin@classaround.co.kr</t>
    <phoneticPr fontId="3" type="noConversion"/>
  </si>
  <si>
    <t>성원피에프지점</t>
    <phoneticPr fontId="3" type="noConversion"/>
  </si>
  <si>
    <t>천주희</t>
    <phoneticPr fontId="3" type="noConversion"/>
  </si>
  <si>
    <t>032-830-4100</t>
    <phoneticPr fontId="3" type="noConversion"/>
  </si>
  <si>
    <t>jhcheon@sungwoni.kr</t>
    <phoneticPr fontId="3" type="noConversion"/>
  </si>
  <si>
    <t>참테크놀로지</t>
    <phoneticPr fontId="3" type="noConversion"/>
  </si>
  <si>
    <t>신유나</t>
    <phoneticPr fontId="3" type="noConversion"/>
  </si>
  <si>
    <t>010-3625-9740</t>
    <phoneticPr fontId="3" type="noConversion"/>
  </si>
  <si>
    <t>ynshin@charmts.net</t>
    <phoneticPr fontId="3" type="noConversion"/>
  </si>
  <si>
    <t>아펙스스포츠</t>
    <phoneticPr fontId="3" type="noConversion"/>
  </si>
  <si>
    <t>손창학</t>
    <phoneticPr fontId="3" type="noConversion"/>
  </si>
  <si>
    <t>010-5459-1028</t>
    <phoneticPr fontId="3" type="noConversion"/>
  </si>
  <si>
    <t>ch161028@naver.com</t>
    <phoneticPr fontId="3" type="noConversion"/>
  </si>
  <si>
    <t>사유 : 타사 도입 확정</t>
    <phoneticPr fontId="3" type="noConversion"/>
  </si>
  <si>
    <t>리스키</t>
    <phoneticPr fontId="3" type="noConversion"/>
  </si>
  <si>
    <t>야근식대 도입 검토 중</t>
    <phoneticPr fontId="3" type="noConversion"/>
  </si>
  <si>
    <t>홍유빈</t>
    <phoneticPr fontId="3" type="noConversion"/>
  </si>
  <si>
    <t>010-5698-3865</t>
    <phoneticPr fontId="3" type="noConversion"/>
  </si>
  <si>
    <t>ybhong@riskybeauty.com</t>
    <phoneticPr fontId="3" type="noConversion"/>
  </si>
  <si>
    <t>데일리페이</t>
    <phoneticPr fontId="3" type="noConversion"/>
  </si>
  <si>
    <t>공덕</t>
    <phoneticPr fontId="3" type="noConversion"/>
  </si>
  <si>
    <t>양현모</t>
    <phoneticPr fontId="3" type="noConversion"/>
  </si>
  <si>
    <t>010-9193-0763</t>
    <phoneticPr fontId="3" type="noConversion"/>
  </si>
  <si>
    <t>hyunmo@daily-pay.co.kr</t>
    <phoneticPr fontId="3" type="noConversion"/>
  </si>
  <si>
    <t>보은군</t>
    <phoneticPr fontId="3" type="noConversion"/>
  </si>
  <si>
    <t>인당 연 140만원 복지포인트 지급 (연 2억 4천만)</t>
    <phoneticPr fontId="3" type="noConversion"/>
  </si>
  <si>
    <t>양혜수</t>
    <phoneticPr fontId="3" type="noConversion"/>
  </si>
  <si>
    <t>043-543-1456</t>
    <phoneticPr fontId="3" type="noConversion"/>
  </si>
  <si>
    <t>hsyang@iikim.co.kr</t>
    <phoneticPr fontId="3" type="noConversion"/>
  </si>
  <si>
    <t>보쉐코리아</t>
    <phoneticPr fontId="3" type="noConversion"/>
  </si>
  <si>
    <t>인당 연 20만원 복지포인트 지급 (연 200만원)</t>
    <phoneticPr fontId="3" type="noConversion"/>
  </si>
  <si>
    <t>010-7195-0455</t>
    <phoneticPr fontId="3" type="noConversion"/>
  </si>
  <si>
    <t>sunny.choi@voesh.com</t>
    <phoneticPr fontId="3" type="noConversion"/>
  </si>
  <si>
    <t>나무기술</t>
    <phoneticPr fontId="3" type="noConversion"/>
  </si>
  <si>
    <t>인당 일 12,000원 식대 지원 검토 (월 2,600만)</t>
    <phoneticPr fontId="3" type="noConversion"/>
  </si>
  <si>
    <t>박건우</t>
    <phoneticPr fontId="3" type="noConversion"/>
  </si>
  <si>
    <t>010-6730-4717</t>
    <phoneticPr fontId="3" type="noConversion"/>
  </si>
  <si>
    <t>geonwoo.park@namutech.co.kr</t>
    <phoneticPr fontId="3" type="noConversion"/>
  </si>
  <si>
    <t>수원웰니스의원</t>
    <phoneticPr fontId="3" type="noConversion"/>
  </si>
  <si>
    <t>인당 월 20만원 복지포인트 지급 (월 400만)</t>
    <phoneticPr fontId="3" type="noConversion"/>
  </si>
  <si>
    <t>임호성</t>
    <phoneticPr fontId="3" type="noConversion"/>
  </si>
  <si>
    <t>010-4593-9241</t>
    <phoneticPr fontId="3" type="noConversion"/>
  </si>
  <si>
    <t>megagrip@nate.com</t>
    <phoneticPr fontId="3" type="noConversion"/>
  </si>
  <si>
    <t>노블365의원</t>
    <phoneticPr fontId="3" type="noConversion"/>
  </si>
  <si>
    <t>인당 월 18~20만원 복지포인트 지급 (월 450만)</t>
    <phoneticPr fontId="3" type="noConversion"/>
  </si>
  <si>
    <t>박종필</t>
    <phoneticPr fontId="3" type="noConversion"/>
  </si>
  <si>
    <t>010-8406-1830</t>
    <phoneticPr fontId="3" type="noConversion"/>
  </si>
  <si>
    <t>purple2810@naver.com</t>
    <phoneticPr fontId="3" type="noConversion"/>
  </si>
  <si>
    <t>건화산업</t>
    <phoneticPr fontId="3" type="noConversion"/>
  </si>
  <si>
    <t>경산시</t>
    <phoneticPr fontId="3" type="noConversion"/>
  </si>
  <si>
    <t>인당 연 60만원 복지포인트 지급 (연 3억)</t>
    <phoneticPr fontId="3" type="noConversion"/>
  </si>
  <si>
    <t>유다혜</t>
    <phoneticPr fontId="3" type="noConversion"/>
  </si>
  <si>
    <t>010-8028-9345</t>
    <phoneticPr fontId="3" type="noConversion"/>
  </si>
  <si>
    <t>dahye.you@kunhwa.co.kr</t>
    <phoneticPr fontId="3" type="noConversion"/>
  </si>
  <si>
    <t>강남젠틀치과의원</t>
    <phoneticPr fontId="3" type="noConversion"/>
  </si>
  <si>
    <t>양수안</t>
    <phoneticPr fontId="3" type="noConversion"/>
  </si>
  <si>
    <t>02-6253-2828</t>
    <phoneticPr fontId="3" type="noConversion"/>
  </si>
  <si>
    <t>사유 : 내부 예산 부족하여 복지포인트 도입 보류</t>
    <phoneticPr fontId="3" type="noConversion"/>
  </si>
  <si>
    <t>진양오일씰</t>
    <phoneticPr fontId="3" type="noConversion"/>
  </si>
  <si>
    <t>사내카페 오더 도입 검토</t>
    <phoneticPr fontId="3" type="noConversion"/>
  </si>
  <si>
    <t>김민지</t>
    <phoneticPr fontId="3" type="noConversion"/>
  </si>
  <si>
    <t>010-6659-3849</t>
    <phoneticPr fontId="3" type="noConversion"/>
  </si>
  <si>
    <t>alswl3849@jy-oilseal.com</t>
    <phoneticPr fontId="3" type="noConversion"/>
  </si>
  <si>
    <t>인당 월 16만원 복지포인트 지급 (월 64만원)</t>
    <phoneticPr fontId="3" type="noConversion"/>
  </si>
  <si>
    <t>조환희</t>
    <phoneticPr fontId="3" type="noConversion"/>
  </si>
  <si>
    <t>010-2211-5328</t>
    <phoneticPr fontId="3" type="noConversion"/>
  </si>
  <si>
    <t>chh@kips.or.kr</t>
    <phoneticPr fontId="3" type="noConversion"/>
  </si>
  <si>
    <t>인포유앤컴퍼니</t>
    <phoneticPr fontId="3" type="noConversion"/>
  </si>
  <si>
    <t>인당 월 2만원 복지포인트 지급 (월 120만원)</t>
    <phoneticPr fontId="3" type="noConversion"/>
  </si>
  <si>
    <t>이수현</t>
    <phoneticPr fontId="3" type="noConversion"/>
  </si>
  <si>
    <t>010-6375-1046</t>
    <phoneticPr fontId="3" type="noConversion"/>
  </si>
  <si>
    <t xml:space="preserve">tngus0322@naver.com </t>
    <phoneticPr fontId="3" type="noConversion"/>
  </si>
  <si>
    <t>그리웰</t>
    <phoneticPr fontId="3" type="noConversion"/>
  </si>
  <si>
    <t>구내식당 식권 제휴 인입 건</t>
    <phoneticPr fontId="3" type="noConversion"/>
  </si>
  <si>
    <t>김효준 대표</t>
    <phoneticPr fontId="3" type="noConversion"/>
  </si>
  <si>
    <t>010-3168-8475</t>
    <phoneticPr fontId="3" type="noConversion"/>
  </si>
  <si>
    <t>hj.kim@griwell.com</t>
    <phoneticPr fontId="3" type="noConversion"/>
  </si>
  <si>
    <t>인당 월 10~15만원 복지포인트 지급 (월 2천만)</t>
    <phoneticPr fontId="3" type="noConversion"/>
  </si>
  <si>
    <t>강지혜</t>
    <phoneticPr fontId="3" type="noConversion"/>
  </si>
  <si>
    <t>010-4016-7841</t>
    <phoneticPr fontId="3" type="noConversion"/>
  </si>
  <si>
    <t>hrm@dlmarketing.kr</t>
    <phoneticPr fontId="3" type="noConversion"/>
  </si>
  <si>
    <t>애니포인트미디어</t>
    <phoneticPr fontId="3" type="noConversion"/>
  </si>
  <si>
    <t>광고영상제작업</t>
    <phoneticPr fontId="3" type="noConversion"/>
  </si>
  <si>
    <t>트레블로카 코리아</t>
    <phoneticPr fontId="3" type="noConversion"/>
  </si>
  <si>
    <t>인당 일 18,000원 식대 지급 (월 700만)</t>
    <phoneticPr fontId="3" type="noConversion"/>
  </si>
  <si>
    <t>심한나</t>
    <phoneticPr fontId="3" type="noConversion"/>
  </si>
  <si>
    <t>010-9467-6573</t>
    <phoneticPr fontId="3" type="noConversion"/>
  </si>
  <si>
    <t>노원어르신행복주식회사</t>
    <phoneticPr fontId="3" type="noConversion"/>
  </si>
  <si>
    <t>직급 별 복지포인트 차등 지급 (연 1천만)</t>
    <phoneticPr fontId="3" type="noConversion"/>
  </si>
  <si>
    <t>안새열</t>
    <phoneticPr fontId="3" type="noConversion"/>
  </si>
  <si>
    <t>010-8514-6649</t>
    <phoneticPr fontId="3" type="noConversion"/>
  </si>
  <si>
    <t>인당 연 80만원 복지포인트 지급 (연 4,400만)</t>
    <phoneticPr fontId="3" type="noConversion"/>
  </si>
  <si>
    <t>최교준</t>
    <phoneticPr fontId="3" type="noConversion"/>
  </si>
  <si>
    <t>010-2844-5388</t>
    <phoneticPr fontId="3" type="noConversion"/>
  </si>
  <si>
    <t xml:space="preserve">kj.choi@anypointmedia.com </t>
    <phoneticPr fontId="3" type="noConversion"/>
  </si>
  <si>
    <t>hanna.sim@traveloka.com</t>
    <phoneticPr fontId="3" type="noConversion"/>
  </si>
  <si>
    <t>dkstoduf@wehago.com</t>
    <phoneticPr fontId="3" type="noConversion"/>
  </si>
  <si>
    <t>우수이엔지</t>
    <phoneticPr fontId="3" type="noConversion"/>
  </si>
  <si>
    <t>기타금속가공업</t>
    <phoneticPr fontId="3" type="noConversion"/>
  </si>
  <si>
    <t>의왕시</t>
    <phoneticPr fontId="3" type="noConversion"/>
  </si>
  <si>
    <t>더편한장내과</t>
    <phoneticPr fontId="3" type="noConversion"/>
  </si>
  <si>
    <t>내과의원</t>
    <phoneticPr fontId="3" type="noConversion"/>
  </si>
  <si>
    <t>안성시</t>
    <phoneticPr fontId="3" type="noConversion"/>
  </si>
  <si>
    <t>트레블로카코리아</t>
    <phoneticPr fontId="3" type="noConversion"/>
  </si>
  <si>
    <t>종합여행업</t>
    <phoneticPr fontId="3" type="noConversion"/>
  </si>
  <si>
    <t>가정용 세탁업</t>
    <phoneticPr fontId="3" type="noConversion"/>
  </si>
  <si>
    <t>군포시</t>
    <phoneticPr fontId="3" type="noConversion"/>
  </si>
  <si>
    <t>엠피에스</t>
    <phoneticPr fontId="3" type="noConversion"/>
  </si>
  <si>
    <t>히트성형외과의원</t>
    <phoneticPr fontId="3" type="noConversion"/>
  </si>
  <si>
    <t>기타전자부품제조업</t>
    <phoneticPr fontId="3" type="noConversion"/>
  </si>
  <si>
    <t>수원시</t>
    <phoneticPr fontId="3" type="noConversion"/>
  </si>
  <si>
    <t>의정부웰니스내과의원</t>
    <phoneticPr fontId="3" type="noConversion"/>
  </si>
  <si>
    <t>아이쿱</t>
    <phoneticPr fontId="3" type="noConversion"/>
  </si>
  <si>
    <t>우현정</t>
    <phoneticPr fontId="3" type="noConversion"/>
  </si>
  <si>
    <t>010-6805-7203</t>
    <phoneticPr fontId="3" type="noConversion"/>
  </si>
  <si>
    <t>hyunjung.woo@ikoob.com</t>
    <phoneticPr fontId="3" type="noConversion"/>
  </si>
  <si>
    <t>인당 일 7,700원 중식 지원 (월 800만)</t>
    <phoneticPr fontId="3" type="noConversion"/>
  </si>
  <si>
    <t>최태준</t>
    <phoneticPr fontId="3" type="noConversion"/>
  </si>
  <si>
    <t>010-8668-7784</t>
    <phoneticPr fontId="3" type="noConversion"/>
  </si>
  <si>
    <t>tjchoi@mpsglobal.co.kr</t>
    <phoneticPr fontId="3" type="noConversion"/>
  </si>
  <si>
    <t>하이크로봇코리아</t>
    <phoneticPr fontId="3" type="noConversion"/>
  </si>
  <si>
    <t>인당 일 12,000원 중식 지원 (월 240만)</t>
    <phoneticPr fontId="3" type="noConversion"/>
  </si>
  <si>
    <t>온비니</t>
    <phoneticPr fontId="3" type="noConversion"/>
  </si>
  <si>
    <t>010-8461-0122</t>
    <phoneticPr fontId="3" type="noConversion"/>
  </si>
  <si>
    <t>공영홈쇼핑</t>
    <phoneticPr fontId="3" type="noConversion"/>
  </si>
  <si>
    <t>상세 정책 미정 (vs 식권대장, 비플식권)</t>
    <phoneticPr fontId="3" type="noConversion"/>
  </si>
  <si>
    <t>유승상</t>
    <phoneticPr fontId="3" type="noConversion"/>
  </si>
  <si>
    <t>010-7170-2141</t>
    <phoneticPr fontId="3" type="noConversion"/>
  </si>
  <si>
    <t>ssyoo@gongyoung.kr</t>
    <phoneticPr fontId="3" type="noConversion"/>
  </si>
  <si>
    <t>온이츠에이아이</t>
    <phoneticPr fontId="3" type="noConversion"/>
  </si>
  <si>
    <t>선릉</t>
    <phoneticPr fontId="3" type="noConversion"/>
  </si>
  <si>
    <t>인당 일 12,000원 중식 지원 (월 320만)</t>
    <phoneticPr fontId="3" type="noConversion"/>
  </si>
  <si>
    <t>최연재</t>
    <phoneticPr fontId="3" type="noConversion"/>
  </si>
  <si>
    <t>010-7730-9751</t>
    <phoneticPr fontId="3" type="noConversion"/>
  </si>
  <si>
    <t>yjchoi@onits.ai</t>
    <phoneticPr fontId="3" type="noConversion"/>
  </si>
  <si>
    <t>제노스큐브코리아</t>
    <phoneticPr fontId="3" type="noConversion"/>
  </si>
  <si>
    <t>인당 일 15,000원 중식 지원 (월 150만)</t>
    <phoneticPr fontId="3" type="noConversion"/>
  </si>
  <si>
    <t>정윤재</t>
    <phoneticPr fontId="3" type="noConversion"/>
  </si>
  <si>
    <t>010-9464-5396</t>
    <phoneticPr fontId="3" type="noConversion"/>
  </si>
  <si>
    <t>인당 연 100~200만원 복지포인트 지급 (월 200만)</t>
    <phoneticPr fontId="3" type="noConversion"/>
  </si>
  <si>
    <t>민하니</t>
    <phoneticPr fontId="3" type="noConversion"/>
  </si>
  <si>
    <t>010-9002-3888</t>
    <phoneticPr fontId="3" type="noConversion"/>
  </si>
  <si>
    <t>hitpsmin@gmail.com</t>
    <phoneticPr fontId="3" type="noConversion"/>
  </si>
  <si>
    <t>굿스플로</t>
    <phoneticPr fontId="3" type="noConversion"/>
  </si>
  <si>
    <t>인당 월 10만원 식대카드 지원 (월 950만)</t>
    <phoneticPr fontId="3" type="noConversion"/>
  </si>
  <si>
    <t>문지영</t>
    <phoneticPr fontId="3" type="noConversion"/>
  </si>
  <si>
    <t>02-514-6594</t>
    <phoneticPr fontId="3" type="noConversion"/>
  </si>
  <si>
    <t>jymoon@goodsflow.com</t>
    <phoneticPr fontId="3" type="noConversion"/>
  </si>
  <si>
    <t>의정부</t>
    <phoneticPr fontId="3" type="noConversion"/>
  </si>
  <si>
    <t>010-7456-6383</t>
    <phoneticPr fontId="3" type="noConversion"/>
  </si>
  <si>
    <t>투모로 로보틱스</t>
    <phoneticPr fontId="3" type="noConversion"/>
  </si>
  <si>
    <t>바이오연구개발업</t>
    <phoneticPr fontId="3" type="noConversion"/>
  </si>
  <si>
    <t>투모로로보틱스</t>
    <phoneticPr fontId="3" type="noConversion"/>
  </si>
  <si>
    <t>인공지능로봇개발업</t>
    <phoneticPr fontId="3" type="noConversion"/>
  </si>
  <si>
    <t>동대문구</t>
    <phoneticPr fontId="3" type="noConversion"/>
  </si>
  <si>
    <t>인당 월 20만원 복지포인트 + 야근식대 1만원 지원 (월 600만)</t>
    <phoneticPr fontId="3" type="noConversion"/>
  </si>
  <si>
    <t>010-8491-0064</t>
    <phoneticPr fontId="3" type="noConversion"/>
  </si>
  <si>
    <t>보라티알</t>
    <phoneticPr fontId="3" type="noConversion"/>
  </si>
  <si>
    <t>장솔연</t>
    <phoneticPr fontId="3" type="noConversion"/>
  </si>
  <si>
    <t>010-5140-1229</t>
    <phoneticPr fontId="3" type="noConversion"/>
  </si>
  <si>
    <t>syj@boratr.co.kr</t>
    <phoneticPr fontId="3" type="noConversion"/>
  </si>
  <si>
    <t>조원종</t>
    <phoneticPr fontId="3" type="noConversion"/>
  </si>
  <si>
    <t>one@tommoro.ai</t>
    <phoneticPr fontId="3" type="noConversion"/>
  </si>
  <si>
    <t>엠엑스바이오</t>
    <phoneticPr fontId="3" type="noConversion"/>
  </si>
  <si>
    <t>인당 일 1만원 중식대 지원 (월 280만)</t>
    <phoneticPr fontId="3" type="noConversion"/>
  </si>
  <si>
    <t>김숙경</t>
    <phoneticPr fontId="3" type="noConversion"/>
  </si>
  <si>
    <t>010-8947-1566</t>
    <phoneticPr fontId="3" type="noConversion"/>
  </si>
  <si>
    <t>sk_ydp@mx-bio.com</t>
    <phoneticPr fontId="3" type="noConversion"/>
  </si>
  <si>
    <t>070-7606-3840</t>
    <phoneticPr fontId="3" type="noConversion"/>
  </si>
  <si>
    <t>사유 : 본사 내부 이슈로 도입 전면홀딩</t>
    <phoneticPr fontId="3" type="noConversion"/>
  </si>
  <si>
    <t>사유 : 해당 업체 측 입찰실패</t>
    <phoneticPr fontId="3" type="noConversion"/>
  </si>
  <si>
    <t>사유 : 신한은행 법인대출 우대사항으로 신한카드 도입 확정</t>
    <phoneticPr fontId="3" type="noConversion"/>
  </si>
  <si>
    <t>casey.chung@xenoscube.ai</t>
    <phoneticPr fontId="3" type="noConversion"/>
  </si>
  <si>
    <t>인당 월 20만원 중식 지원 (월 200만)</t>
    <phoneticPr fontId="3" type="noConversion"/>
  </si>
  <si>
    <t>김승희</t>
    <phoneticPr fontId="3" type="noConversion"/>
  </si>
  <si>
    <t>프러스엔지니어링</t>
    <phoneticPr fontId="3" type="noConversion"/>
  </si>
  <si>
    <t>목동</t>
    <phoneticPr fontId="3" type="noConversion"/>
  </si>
  <si>
    <t>인당 연 120만원 (월 200만)</t>
    <phoneticPr fontId="3" type="noConversion"/>
  </si>
  <si>
    <t>이혜윤</t>
    <phoneticPr fontId="3" type="noConversion"/>
  </si>
  <si>
    <t>010-9111-2714</t>
    <phoneticPr fontId="3" type="noConversion"/>
  </si>
  <si>
    <t>123tax@naver.com</t>
    <phoneticPr fontId="3" type="noConversion"/>
  </si>
  <si>
    <t>코셉머티리얼</t>
    <phoneticPr fontId="3" type="noConversion"/>
  </si>
  <si>
    <t>인당 연 70만원 (월 300만) / 한전 계열사</t>
    <phoneticPr fontId="3" type="noConversion"/>
  </si>
  <si>
    <t>정태홍</t>
    <phoneticPr fontId="3" type="noConversion"/>
  </si>
  <si>
    <t>010-3269-0011</t>
    <phoneticPr fontId="3" type="noConversion"/>
  </si>
  <si>
    <t>wever99@e-kmc.co.kr</t>
    <phoneticPr fontId="3" type="noConversion"/>
  </si>
  <si>
    <t>위스코</t>
    <phoneticPr fontId="3" type="noConversion"/>
  </si>
  <si>
    <t>이창인</t>
    <phoneticPr fontId="3" type="noConversion"/>
  </si>
  <si>
    <t>010-9052-2500</t>
    <phoneticPr fontId="3" type="noConversion"/>
  </si>
  <si>
    <t>고려훼리</t>
    <phoneticPr fontId="3" type="noConversion"/>
  </si>
  <si>
    <t>인당 월 30만원 식대포인트 지급 (월 750만) / 식권대장 비딩 중</t>
    <phoneticPr fontId="3" type="noConversion"/>
  </si>
  <si>
    <t>정성원</t>
    <phoneticPr fontId="3" type="noConversion"/>
  </si>
  <si>
    <t>010-8465-5775</t>
    <phoneticPr fontId="3" type="noConversion"/>
  </si>
  <si>
    <t>swjung@koreaferry.kr</t>
    <phoneticPr fontId="3" type="noConversion"/>
  </si>
  <si>
    <t>테크윙</t>
    <phoneticPr fontId="3" type="noConversion"/>
  </si>
  <si>
    <t>인당 연 50만원 + a (월 2천만) / 베네피아 전환</t>
    <phoneticPr fontId="3" type="noConversion"/>
  </si>
  <si>
    <t>최혜진</t>
    <phoneticPr fontId="3" type="noConversion"/>
  </si>
  <si>
    <t>010-7736-3715</t>
    <phoneticPr fontId="3" type="noConversion"/>
  </si>
  <si>
    <t>hyejin.choi@techwing.co.kr</t>
    <phoneticPr fontId="3" type="noConversion"/>
  </si>
  <si>
    <t>미립</t>
    <phoneticPr fontId="3" type="noConversion"/>
  </si>
  <si>
    <t>인당 일 1만원 식대지급 (월 600만)</t>
    <phoneticPr fontId="3" type="noConversion"/>
  </si>
  <si>
    <t>이보늬</t>
    <phoneticPr fontId="3" type="noConversion"/>
  </si>
  <si>
    <t>010-7136-9403</t>
    <phoneticPr fontId="3" type="noConversion"/>
  </si>
  <si>
    <t xml:space="preserve">bnlee@milip.kr </t>
    <phoneticPr fontId="3" type="noConversion"/>
  </si>
  <si>
    <t>에스엠하이플러스</t>
    <phoneticPr fontId="3" type="noConversion"/>
  </si>
  <si>
    <t>신림</t>
    <phoneticPr fontId="3" type="noConversion"/>
  </si>
  <si>
    <t>인당 야근식대 일 1만원 (월 300만원)</t>
    <phoneticPr fontId="3" type="noConversion"/>
  </si>
  <si>
    <t>김시경</t>
    <phoneticPr fontId="3" type="noConversion"/>
  </si>
  <si>
    <t>010-6643-3656</t>
    <phoneticPr fontId="3" type="noConversion"/>
  </si>
  <si>
    <t>solid@smhiplus.co.kr</t>
    <phoneticPr fontId="3" type="noConversion"/>
  </si>
  <si>
    <t>대력</t>
    <phoneticPr fontId="3" type="noConversion"/>
  </si>
  <si>
    <t>식품가공 및 유통업</t>
    <phoneticPr fontId="3" type="noConversion"/>
  </si>
  <si>
    <r>
      <rPr>
        <b/>
        <sz val="9"/>
        <color theme="1"/>
        <rFont val="맑은 고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>비즈플러스제휴팀 25년 매출실적</t>
    </r>
    <r>
      <rPr>
        <b/>
        <sz val="9"/>
        <color theme="1"/>
        <rFont val="맑은 고딕"/>
        <family val="1"/>
        <charset val="129"/>
        <scheme val="minor"/>
      </rPr>
      <t>(예상)</t>
    </r>
    <phoneticPr fontId="3" type="noConversion"/>
  </si>
  <si>
    <t>목표 (월 신규)</t>
    <phoneticPr fontId="3" type="noConversion"/>
  </si>
  <si>
    <t>목표( 연 누적신규)</t>
    <phoneticPr fontId="3" type="noConversion"/>
  </si>
  <si>
    <t>25년
목표
(수정)</t>
    <phoneticPr fontId="3" type="noConversion"/>
  </si>
  <si>
    <t>25년
실적
(윙크
제외)</t>
    <phoneticPr fontId="3" type="noConversion"/>
  </si>
  <si>
    <r>
      <rPr>
        <b/>
        <sz val="9"/>
        <color theme="1"/>
        <rFont val="맑은 고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</t>
    </r>
    <r>
      <rPr>
        <b/>
        <sz val="9"/>
        <color theme="1"/>
        <rFont val="맑은 고딕"/>
        <family val="3"/>
        <charset val="129"/>
        <scheme val="minor"/>
      </rPr>
      <t>26년 매출계획</t>
    </r>
    <phoneticPr fontId="3" type="noConversion"/>
  </si>
  <si>
    <t>26년
매출
목표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</si>
  <si>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</t>
    </r>
    <r>
      <rPr>
        <b/>
        <sz val="9"/>
        <color theme="1"/>
        <rFont val="맑은 고딕"/>
        <family val="3"/>
        <charset val="129"/>
        <scheme val="minor"/>
      </rPr>
      <t>25년 매출상세 (전체)</t>
    </r>
    <phoneticPr fontId="3" type="noConversion"/>
  </si>
  <si>
    <t>서비스도입비</t>
    <phoneticPr fontId="3" type="noConversion"/>
  </si>
  <si>
    <r>
      <rPr>
        <b/>
        <sz val="9"/>
        <color theme="1"/>
        <rFont val="맑은 고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</t>
    </r>
    <r>
      <rPr>
        <b/>
        <sz val="9"/>
        <color theme="1"/>
        <rFont val="맑은 고딕"/>
        <family val="3"/>
        <charset val="129"/>
        <scheme val="minor"/>
      </rPr>
      <t>26년 영업계획</t>
    </r>
    <phoneticPr fontId="3" type="noConversion"/>
  </si>
  <si>
    <t>26년
영업
목표</t>
    <phoneticPr fontId="3" type="noConversion"/>
  </si>
  <si>
    <t>월 신규</t>
    <phoneticPr fontId="3" type="noConversion"/>
  </si>
  <si>
    <t>주요타겟 (공항)</t>
    <phoneticPr fontId="3" type="noConversion"/>
  </si>
  <si>
    <t>대한항공협력</t>
    <phoneticPr fontId="3" type="noConversion"/>
  </si>
  <si>
    <t>아시아나에어</t>
    <phoneticPr fontId="3" type="noConversion"/>
  </si>
  <si>
    <t>항공사 바우처</t>
    <phoneticPr fontId="3" type="noConversion"/>
  </si>
  <si>
    <t>본푸드 바우처</t>
    <phoneticPr fontId="3" type="noConversion"/>
  </si>
  <si>
    <t>동원 바우처</t>
    <phoneticPr fontId="3" type="noConversion"/>
  </si>
  <si>
    <t>CJ프레시 바우처</t>
    <phoneticPr fontId="3" type="noConversion"/>
  </si>
  <si>
    <t>주요타겟 (로컬)</t>
    <phoneticPr fontId="3" type="noConversion"/>
  </si>
  <si>
    <t>한컴, 건화</t>
    <phoneticPr fontId="3" type="noConversion"/>
  </si>
  <si>
    <t>익성</t>
    <phoneticPr fontId="3" type="noConversion"/>
  </si>
  <si>
    <t>대승</t>
    <phoneticPr fontId="3" type="noConversion"/>
  </si>
  <si>
    <t>에스와이</t>
    <phoneticPr fontId="3" type="noConversion"/>
  </si>
  <si>
    <t>미라콤</t>
    <phoneticPr fontId="3" type="noConversion"/>
  </si>
  <si>
    <t>노빌리스</t>
    <phoneticPr fontId="3" type="noConversion"/>
  </si>
  <si>
    <t>연 누적</t>
    <phoneticPr fontId="3" type="noConversion"/>
  </si>
  <si>
    <r>
      <rPr>
        <b/>
        <sz val="9"/>
        <color theme="1"/>
        <rFont val="맑은 고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강동헌 과장</t>
    </r>
    <phoneticPr fontId="3" type="noConversion"/>
  </si>
  <si>
    <r>
      <rPr>
        <b/>
        <sz val="9"/>
        <color theme="1"/>
        <rFont val="맑은 고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이종민 사원</t>
    </r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</si>
  <si>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</t>
    </r>
    <r>
      <rPr>
        <b/>
        <sz val="9"/>
        <color theme="1"/>
        <rFont val="맑은 고딕"/>
        <family val="3"/>
        <charset val="129"/>
        <scheme val="minor"/>
      </rPr>
      <t>25년 매출상세 (PAYCO only)</t>
    </r>
    <phoneticPr fontId="3" type="noConversion"/>
  </si>
  <si>
    <t>25년
(윙크제외)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</si>
  <si>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3개년 매출목표</t>
    </r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</si>
  <si>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25'</t>
    </r>
    <r>
      <rPr>
        <b/>
        <sz val="9"/>
        <color theme="1"/>
        <rFont val="맑은 고딕"/>
        <family val="3"/>
        <charset val="129"/>
        <scheme val="minor"/>
      </rPr>
      <t xml:space="preserve"> 인바운드 현황</t>
    </r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</si>
  <si>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26'</t>
    </r>
    <r>
      <rPr>
        <b/>
        <sz val="9"/>
        <color theme="1"/>
        <rFont val="맑은 고딕"/>
        <family val="3"/>
        <charset val="129"/>
        <scheme val="minor"/>
      </rPr>
      <t xml:space="preserve"> 인바운드 현황</t>
    </r>
    <phoneticPr fontId="3" type="noConversion"/>
  </si>
  <si>
    <t>26년
실적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</si>
  <si>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</t>
    </r>
    <r>
      <rPr>
        <b/>
        <sz val="9"/>
        <color theme="1"/>
        <rFont val="맑은 고딕"/>
        <family val="3"/>
        <charset val="129"/>
        <scheme val="minor"/>
      </rPr>
      <t>26년 매출실적</t>
    </r>
    <phoneticPr fontId="3" type="noConversion"/>
  </si>
  <si>
    <t>로컬</t>
    <phoneticPr fontId="3" type="noConversion"/>
  </si>
  <si>
    <t>월거래액</t>
    <phoneticPr fontId="3" type="noConversion"/>
  </si>
  <si>
    <t>코셉머티리얼</t>
  </si>
  <si>
    <t>기타엔지니어링서비스업</t>
    <phoneticPr fontId="3" type="noConversion"/>
  </si>
  <si>
    <t>기업코드</t>
    <phoneticPr fontId="3" type="noConversion"/>
  </si>
  <si>
    <t>HANCOM</t>
    <phoneticPr fontId="3" type="noConversion"/>
  </si>
  <si>
    <t>복지포인트</t>
    <phoneticPr fontId="3" type="noConversion"/>
  </si>
  <si>
    <t>식권금액형</t>
    <phoneticPr fontId="3" type="noConversion"/>
  </si>
  <si>
    <t>유입경로</t>
    <phoneticPr fontId="3" type="noConversion"/>
  </si>
  <si>
    <t>제이에이에스</t>
    <phoneticPr fontId="3" type="noConversion"/>
  </si>
  <si>
    <t>식권쿠폰형</t>
    <phoneticPr fontId="3" type="noConversion"/>
  </si>
  <si>
    <t>화물취급업</t>
    <phoneticPr fontId="3" type="noConversion"/>
  </si>
  <si>
    <t>제주항공 조업사</t>
    <phoneticPr fontId="3" type="noConversion"/>
  </si>
  <si>
    <t>ATSPUS</t>
    <phoneticPr fontId="3" type="noConversion"/>
  </si>
  <si>
    <t>KUNHWA</t>
    <phoneticPr fontId="3" type="noConversion"/>
  </si>
  <si>
    <t>김해공항</t>
    <phoneticPr fontId="3" type="noConversion"/>
  </si>
  <si>
    <t>SKLSINC</t>
    <phoneticPr fontId="3" type="noConversion"/>
  </si>
  <si>
    <t>운송관련서비스업</t>
    <phoneticPr fontId="3" type="noConversion"/>
  </si>
  <si>
    <t>기업복지 도입비</t>
    <phoneticPr fontId="3" type="noConversion"/>
  </si>
  <si>
    <t>경기 성남시</t>
    <phoneticPr fontId="3" type="noConversion"/>
  </si>
  <si>
    <t>면세점</t>
    <phoneticPr fontId="3" type="noConversion"/>
  </si>
  <si>
    <t>제주공항</t>
    <phoneticPr fontId="3" type="noConversion"/>
  </si>
  <si>
    <t>식권밀쿠폰</t>
    <phoneticPr fontId="3" type="noConversion"/>
  </si>
  <si>
    <t>법무부인천공항출입국외국인청</t>
    <phoneticPr fontId="3" type="noConversion"/>
  </si>
  <si>
    <t>일반공공행정</t>
    <phoneticPr fontId="3" type="noConversion"/>
  </si>
  <si>
    <t>참고</t>
    <phoneticPr fontId="3" type="noConversion"/>
  </si>
  <si>
    <t>제주 제주시</t>
    <phoneticPr fontId="3" type="noConversion"/>
  </si>
  <si>
    <t>경북 경산시</t>
    <phoneticPr fontId="3" type="noConversion"/>
  </si>
  <si>
    <t>식권 이용중</t>
    <phoneticPr fontId="3" type="noConversion"/>
  </si>
  <si>
    <t>총 4개 기업</t>
    <phoneticPr fontId="3" type="noConversion"/>
  </si>
  <si>
    <t>밀쿠폰 전체</t>
    <phoneticPr fontId="3" type="noConversion"/>
  </si>
  <si>
    <t>원데이치과</t>
    <phoneticPr fontId="3" type="noConversion"/>
  </si>
  <si>
    <t>드림날개</t>
    <phoneticPr fontId="3" type="noConversion"/>
  </si>
  <si>
    <t>출판물보관운송업</t>
    <phoneticPr fontId="3" type="noConversion"/>
  </si>
  <si>
    <t>지알엠</t>
    <phoneticPr fontId="3" type="noConversion"/>
  </si>
  <si>
    <t>동 제련,정련 및 한금 제조업</t>
    <phoneticPr fontId="3" type="noConversion"/>
  </si>
  <si>
    <t>단양군</t>
    <phoneticPr fontId="3" type="noConversion"/>
  </si>
  <si>
    <t>이수앱지스</t>
    <phoneticPr fontId="3" type="noConversion"/>
  </si>
  <si>
    <t>바이오의약품제조업</t>
    <phoneticPr fontId="3" type="noConversion"/>
  </si>
  <si>
    <t>하이닉스</t>
    <phoneticPr fontId="3" type="noConversion"/>
  </si>
  <si>
    <t>인증형</t>
    <phoneticPr fontId="3" type="noConversion"/>
  </si>
  <si>
    <t>김해</t>
    <phoneticPr fontId="3" type="noConversion"/>
  </si>
  <si>
    <t>인당 월 15~16만원 식대 지원 (월 450만)</t>
    <phoneticPr fontId="3" type="noConversion"/>
  </si>
  <si>
    <t>에이블시스템</t>
    <phoneticPr fontId="3" type="noConversion"/>
  </si>
  <si>
    <t>인당 일 1만원 식대 지원 (월 500만)</t>
    <phoneticPr fontId="3" type="noConversion"/>
  </si>
  <si>
    <t>김송이</t>
    <phoneticPr fontId="3" type="noConversion"/>
  </si>
  <si>
    <t>tax@ablesystem.kr</t>
    <phoneticPr fontId="3" type="noConversion"/>
  </si>
  <si>
    <t>공항공사</t>
    <phoneticPr fontId="3" type="noConversion"/>
  </si>
  <si>
    <t>아웃소싱</t>
    <phoneticPr fontId="3" type="noConversion"/>
  </si>
  <si>
    <t>유니에스_아시아나출국지원</t>
    <phoneticPr fontId="3" type="noConversion"/>
  </si>
  <si>
    <t>전국공항</t>
    <phoneticPr fontId="3" type="noConversion"/>
  </si>
  <si>
    <t>유니에스_아시아나수하물팀</t>
    <phoneticPr fontId="3" type="noConversion"/>
  </si>
  <si>
    <t>유니에스_아시아나운송지원팀</t>
    <phoneticPr fontId="3" type="noConversion"/>
  </si>
  <si>
    <t>유니에스_아시아나외항사센터</t>
    <phoneticPr fontId="3" type="noConversion"/>
  </si>
  <si>
    <t>유니에스_아시아나탑승수속팀</t>
    <phoneticPr fontId="3" type="noConversion"/>
  </si>
  <si>
    <t>유니에스_아시아나제주여객사업소</t>
    <phoneticPr fontId="3" type="noConversion"/>
  </si>
  <si>
    <t>DONGSUH</t>
    <phoneticPr fontId="3" type="noConversion"/>
  </si>
  <si>
    <t>커피 가공업</t>
    <phoneticPr fontId="3" type="noConversion"/>
  </si>
  <si>
    <t>서울 마포구</t>
    <phoneticPr fontId="3" type="noConversion"/>
  </si>
  <si>
    <t>BABCOCK</t>
    <phoneticPr fontId="3" type="noConversion"/>
  </si>
  <si>
    <t>항공우주 및 방산제품제조업</t>
    <phoneticPr fontId="3" type="noConversion"/>
  </si>
  <si>
    <t>부산 사하구</t>
    <phoneticPr fontId="3" type="noConversion"/>
  </si>
  <si>
    <t>한국생명존중희망재단</t>
    <phoneticPr fontId="3" type="noConversion"/>
  </si>
  <si>
    <t>KFSP</t>
    <phoneticPr fontId="3" type="noConversion"/>
  </si>
  <si>
    <t>비영지재단법인</t>
    <phoneticPr fontId="3" type="noConversion"/>
  </si>
  <si>
    <t>서울 중구</t>
    <phoneticPr fontId="3" type="noConversion"/>
  </si>
  <si>
    <t>보건복지부 산하</t>
    <phoneticPr fontId="3" type="noConversion"/>
  </si>
  <si>
    <t>서울 양천구</t>
    <phoneticPr fontId="3" type="noConversion"/>
  </si>
  <si>
    <t>의정부웰니스의원</t>
    <phoneticPr fontId="3" type="noConversion"/>
  </si>
  <si>
    <t>경기 의정부</t>
    <phoneticPr fontId="3" type="noConversion"/>
  </si>
  <si>
    <t>쿤텍</t>
    <phoneticPr fontId="3" type="noConversion"/>
  </si>
  <si>
    <t>정기복포 신규</t>
    <phoneticPr fontId="3" type="noConversion"/>
  </si>
  <si>
    <t>ISUABXIS</t>
    <phoneticPr fontId="3" type="noConversion"/>
  </si>
  <si>
    <t>KMC</t>
    <phoneticPr fontId="3" type="noConversion"/>
  </si>
  <si>
    <t>KOREAINC</t>
    <phoneticPr fontId="3" type="noConversion"/>
  </si>
  <si>
    <t>LOTTEDFCJU</t>
    <phoneticPr fontId="3" type="noConversion"/>
  </si>
  <si>
    <t>ASIANA</t>
    <phoneticPr fontId="3" type="noConversion"/>
  </si>
  <si>
    <t>SECURITY2</t>
  </si>
  <si>
    <t>SECURITY3</t>
    <phoneticPr fontId="3" type="noConversion"/>
  </si>
  <si>
    <t>WORLDGMP</t>
    <phoneticPr fontId="3" type="noConversion"/>
  </si>
  <si>
    <t>UNIESICN1</t>
    <phoneticPr fontId="3" type="noConversion"/>
  </si>
  <si>
    <t>UNIESICN2</t>
    <phoneticPr fontId="3" type="noConversion"/>
  </si>
  <si>
    <t>UNIESICN3</t>
    <phoneticPr fontId="3" type="noConversion"/>
  </si>
  <si>
    <t>UNIESICN4</t>
    <phoneticPr fontId="3" type="noConversion"/>
  </si>
  <si>
    <t>UNIESGMP2</t>
    <phoneticPr fontId="3" type="noConversion"/>
  </si>
  <si>
    <t>UNIESCJU</t>
    <phoneticPr fontId="3" type="noConversion"/>
  </si>
  <si>
    <t>사유 : 도입협의됐으나, 주변 가맹점 영업 부진하여 도입불가 회신</t>
    <phoneticPr fontId="3" type="noConversion"/>
  </si>
  <si>
    <t>송미혜</t>
    <phoneticPr fontId="3" type="noConversion"/>
  </si>
  <si>
    <t>tax@daeryeok.com</t>
    <phoneticPr fontId="3" type="noConversion"/>
  </si>
  <si>
    <t>055-329-9991</t>
    <phoneticPr fontId="3" type="noConversion"/>
  </si>
  <si>
    <t>주강로보테크</t>
    <phoneticPr fontId="3" type="noConversion"/>
  </si>
  <si>
    <t>인당 연 30만원 (월 150만)</t>
    <phoneticPr fontId="3" type="noConversion"/>
  </si>
  <si>
    <t>김유진</t>
    <phoneticPr fontId="3" type="noConversion"/>
  </si>
  <si>
    <t>010-6564-4270</t>
    <phoneticPr fontId="3" type="noConversion"/>
  </si>
  <si>
    <t>010-4572-2901</t>
    <phoneticPr fontId="3" type="noConversion"/>
  </si>
  <si>
    <t>인당 월 12만원 (월 1,500만)</t>
    <phoneticPr fontId="3" type="noConversion"/>
  </si>
  <si>
    <t>최영광</t>
    <phoneticPr fontId="3" type="noConversion"/>
  </si>
  <si>
    <t>010-5150-0106</t>
    <phoneticPr fontId="3" type="noConversion"/>
  </si>
  <si>
    <t>onedayoffice2875@gmail.com</t>
    <phoneticPr fontId="3" type="noConversion"/>
  </si>
  <si>
    <t>인당 월 18~20만 (월 3,200만)</t>
    <phoneticPr fontId="3" type="noConversion"/>
  </si>
  <si>
    <t>양예슬</t>
    <phoneticPr fontId="3" type="noConversion"/>
  </si>
  <si>
    <t>010-3067-9978</t>
    <phoneticPr fontId="3" type="noConversion"/>
  </si>
  <si>
    <t>yangos94@isu.co.kr</t>
    <phoneticPr fontId="3" type="noConversion"/>
  </si>
  <si>
    <t>부성테크</t>
    <phoneticPr fontId="3" type="noConversion"/>
  </si>
  <si>
    <t>익산</t>
    <phoneticPr fontId="3" type="noConversion"/>
  </si>
  <si>
    <t>인당 월 3~30만원 차등지급, 실 사용자 10명 (월 100만)</t>
    <phoneticPr fontId="3" type="noConversion"/>
  </si>
  <si>
    <t>함지온</t>
    <phoneticPr fontId="3" type="noConversion"/>
  </si>
  <si>
    <t>010-4948-8210</t>
    <phoneticPr fontId="3" type="noConversion"/>
  </si>
  <si>
    <t>jion2948@busung-teck.com</t>
    <phoneticPr fontId="3" type="noConversion"/>
  </si>
  <si>
    <t>한국농수산대학교산학협력단</t>
    <phoneticPr fontId="3" type="noConversion"/>
  </si>
  <si>
    <t>전주</t>
    <phoneticPr fontId="3" type="noConversion"/>
  </si>
  <si>
    <t>문서윤</t>
    <phoneticPr fontId="3" type="noConversion"/>
  </si>
  <si>
    <t>010-9368-4244</t>
    <phoneticPr fontId="3" type="noConversion"/>
  </si>
  <si>
    <t xml:space="preserve">msy8917@af.ac.kr	</t>
    <phoneticPr fontId="3" type="noConversion"/>
  </si>
  <si>
    <t>화성시복지재단</t>
    <phoneticPr fontId="3" type="noConversion"/>
  </si>
  <si>
    <t>서광일</t>
    <phoneticPr fontId="3" type="noConversion"/>
  </si>
  <si>
    <t>010-9238-7106</t>
    <phoneticPr fontId="3" type="noConversion"/>
  </si>
  <si>
    <t>harry2570@hcare.kr</t>
    <phoneticPr fontId="3" type="noConversion"/>
  </si>
  <si>
    <t>케이비엔</t>
    <phoneticPr fontId="3" type="noConversion"/>
  </si>
  <si>
    <t>인당 월 20만원 (월 200만)</t>
    <phoneticPr fontId="3" type="noConversion"/>
  </si>
  <si>
    <t>김주리</t>
    <phoneticPr fontId="3" type="noConversion"/>
  </si>
  <si>
    <t>010-8255-0532</t>
    <phoneticPr fontId="3" type="noConversion"/>
  </si>
  <si>
    <t>juri@kbnu.co.kr</t>
    <phoneticPr fontId="3" type="noConversion"/>
  </si>
  <si>
    <t>아리카</t>
    <phoneticPr fontId="3" type="noConversion"/>
  </si>
  <si>
    <t>함현진</t>
    <phoneticPr fontId="3" type="noConversion"/>
  </si>
  <si>
    <t>010-4660-5480</t>
    <phoneticPr fontId="3" type="noConversion"/>
  </si>
  <si>
    <t>jinny.ham@aricacorp.net</t>
    <phoneticPr fontId="3" type="noConversion"/>
  </si>
  <si>
    <t>인당 월 5만원, 정규직 50명 대상 선오픈 (월 250만), 계약직 150명까지 확대예정</t>
    <phoneticPr fontId="3" type="noConversion"/>
  </si>
  <si>
    <t>이한솔</t>
    <phoneticPr fontId="3" type="noConversion"/>
  </si>
  <si>
    <t>010-7597-1611</t>
    <phoneticPr fontId="3" type="noConversion"/>
  </si>
  <si>
    <t>109@kfsp.or.kr</t>
    <phoneticPr fontId="3" type="noConversion"/>
  </si>
  <si>
    <t>단양</t>
    <phoneticPr fontId="3" type="noConversion"/>
  </si>
  <si>
    <t>인당 연 50만원 (월 400만)</t>
    <phoneticPr fontId="3" type="noConversion"/>
  </si>
  <si>
    <t>지필근</t>
    <phoneticPr fontId="3" type="noConversion"/>
  </si>
  <si>
    <t>010-8030-1494</t>
    <phoneticPr fontId="3" type="noConversion"/>
  </si>
  <si>
    <t>zzzhhh45@grm.co.kr</t>
    <phoneticPr fontId="3" type="noConversion"/>
  </si>
  <si>
    <t>감성코퍼레이션</t>
    <phoneticPr fontId="3" type="noConversion"/>
  </si>
  <si>
    <t>인당 월 10만원 (월 1천만)</t>
    <phoneticPr fontId="3" type="noConversion"/>
  </si>
  <si>
    <t>전유선</t>
    <phoneticPr fontId="3" type="noConversion"/>
  </si>
  <si>
    <t>02-3140-1018</t>
    <phoneticPr fontId="3" type="noConversion"/>
  </si>
  <si>
    <t>jys118@gamsungcorp.co.kr</t>
    <phoneticPr fontId="3" type="noConversion"/>
  </si>
  <si>
    <t>씨티케이</t>
    <phoneticPr fontId="3" type="noConversion"/>
  </si>
  <si>
    <t>인당 월 10만원 (월 1,500만)</t>
    <phoneticPr fontId="3" type="noConversion"/>
  </si>
  <si>
    <t>양희준</t>
    <phoneticPr fontId="3" type="noConversion"/>
  </si>
  <si>
    <t>010-3107-6195</t>
    <phoneticPr fontId="3" type="noConversion"/>
  </si>
  <si>
    <t>hjyang@ctkclip.com</t>
    <phoneticPr fontId="3" type="noConversion"/>
  </si>
  <si>
    <t>엠키 스코어</t>
    <phoneticPr fontId="3" type="noConversion"/>
  </si>
  <si>
    <t>인당 연 100만원 (월 600만)</t>
    <phoneticPr fontId="3" type="noConversion"/>
  </si>
  <si>
    <t>박진경</t>
    <phoneticPr fontId="3" type="noConversion"/>
  </si>
  <si>
    <t>010-6866-2008</t>
    <phoneticPr fontId="3" type="noConversion"/>
  </si>
  <si>
    <t>jin-kyung.park@mkiscore.com</t>
    <phoneticPr fontId="3" type="noConversion"/>
  </si>
  <si>
    <t>엠지솔루션스</t>
    <phoneticPr fontId="3" type="noConversion"/>
  </si>
  <si>
    <t>박수영</t>
    <phoneticPr fontId="3" type="noConversion"/>
  </si>
  <si>
    <t>010-2718-7380</t>
    <phoneticPr fontId="3" type="noConversion"/>
  </si>
  <si>
    <t>sy.park@motiphysio.com</t>
    <phoneticPr fontId="3" type="noConversion"/>
  </si>
  <si>
    <t>에프피티소프트웨어코리아</t>
    <phoneticPr fontId="3" type="noConversion"/>
  </si>
  <si>
    <t>인당 연 100만원 (월 2,500만)</t>
    <phoneticPr fontId="3" type="noConversion"/>
  </si>
  <si>
    <t>피앤티</t>
    <phoneticPr fontId="3" type="noConversion"/>
  </si>
  <si>
    <t>고은하</t>
    <phoneticPr fontId="3" type="noConversion"/>
  </si>
  <si>
    <t>010-7191-9518</t>
    <phoneticPr fontId="3" type="noConversion"/>
  </si>
  <si>
    <t>ehko@pntsyst.co.kr</t>
    <phoneticPr fontId="3" type="noConversion"/>
  </si>
  <si>
    <t>인당 뭘 10만원 (월 300만)</t>
    <phoneticPr fontId="3" type="noConversion"/>
  </si>
  <si>
    <t>이상화</t>
    <phoneticPr fontId="3" type="noConversion"/>
  </si>
  <si>
    <t>010-8741-0921</t>
    <phoneticPr fontId="3" type="noConversion"/>
  </si>
  <si>
    <t>lee.sanghwa@fpt.com</t>
    <phoneticPr fontId="3" type="noConversion"/>
  </si>
  <si>
    <t>정정당당</t>
    <phoneticPr fontId="3" type="noConversion"/>
  </si>
  <si>
    <t>인당 월 20만원 + a (월 최소 1억)</t>
    <phoneticPr fontId="3" type="noConversion"/>
  </si>
  <si>
    <t>김용민</t>
    <phoneticPr fontId="3" type="noConversion"/>
  </si>
  <si>
    <t>010-9338-9749</t>
    <phoneticPr fontId="3" type="noConversion"/>
  </si>
  <si>
    <t>jjdd8592@naver.com</t>
    <phoneticPr fontId="3" type="noConversion"/>
  </si>
  <si>
    <t>인당 월 10만원 (월 800만)</t>
    <phoneticPr fontId="3" type="noConversion"/>
  </si>
  <si>
    <t>김명준</t>
    <phoneticPr fontId="3" type="noConversion"/>
  </si>
  <si>
    <t>010-2027-2072</t>
    <phoneticPr fontId="3" type="noConversion"/>
  </si>
  <si>
    <t>mj@coontec.com</t>
    <phoneticPr fontId="3" type="noConversion"/>
  </si>
  <si>
    <t>동탄 우미뉴브 관리단</t>
    <phoneticPr fontId="3" type="noConversion"/>
  </si>
  <si>
    <t>건물 내 상가 전용 할인 바우처 발행 문의</t>
    <phoneticPr fontId="3" type="noConversion"/>
  </si>
  <si>
    <t>김영민</t>
    <phoneticPr fontId="3" type="noConversion"/>
  </si>
  <si>
    <t>010-9310-3817</t>
    <phoneticPr fontId="3" type="noConversion"/>
  </si>
  <si>
    <t>woomi-newv@naver.com</t>
    <phoneticPr fontId="3" type="noConversion"/>
  </si>
  <si>
    <t xml:space="preserve">씨앤에이치캐피탈 </t>
    <phoneticPr fontId="3" type="noConversion"/>
  </si>
  <si>
    <t>부천</t>
    <phoneticPr fontId="3" type="noConversion"/>
  </si>
  <si>
    <t>최연준</t>
    <phoneticPr fontId="3" type="noConversion"/>
  </si>
  <si>
    <t>010-4266-5501</t>
    <phoneticPr fontId="3" type="noConversion"/>
  </si>
  <si>
    <t>yjchoi@cnhcapital.co.kr</t>
    <phoneticPr fontId="3" type="noConversion"/>
  </si>
  <si>
    <t>부국정공</t>
    <phoneticPr fontId="3" type="noConversion"/>
  </si>
  <si>
    <t>김영</t>
    <phoneticPr fontId="3" type="noConversion"/>
  </si>
  <si>
    <t>010-6311-9034</t>
    <phoneticPr fontId="3" type="noConversion"/>
  </si>
  <si>
    <t>ykim@bkgo.co.kr</t>
    <phoneticPr fontId="3" type="noConversion"/>
  </si>
  <si>
    <t>제이엔티코퍼레이션</t>
    <phoneticPr fontId="3" type="noConversion"/>
  </si>
  <si>
    <t>한풍석</t>
    <phoneticPr fontId="3" type="noConversion"/>
  </si>
  <si>
    <t>010-6798-9878</t>
    <phoneticPr fontId="3" type="noConversion"/>
  </si>
  <si>
    <t>pshan@jntcorporation.com</t>
    <phoneticPr fontId="3" type="noConversion"/>
  </si>
  <si>
    <t>사유 : 과천 내 식권 가맹점 부족 (식권대장, 비플은 다수 확보 중)</t>
    <phoneticPr fontId="3" type="noConversion"/>
  </si>
  <si>
    <t>덕다이버</t>
    <phoneticPr fontId="3" type="noConversion"/>
  </si>
  <si>
    <t>인당 연 10만원 (월 10만)</t>
    <phoneticPr fontId="3" type="noConversion"/>
  </si>
  <si>
    <t>조은선</t>
    <phoneticPr fontId="3" type="noConversion"/>
  </si>
  <si>
    <t>010-7479-2907</t>
    <phoneticPr fontId="3" type="noConversion"/>
  </si>
  <si>
    <t>AA아키그룹</t>
    <phoneticPr fontId="3" type="noConversion"/>
  </si>
  <si>
    <t>인당 월 30만원 (월 1,500만)</t>
    <phoneticPr fontId="3" type="noConversion"/>
  </si>
  <si>
    <t>손정완</t>
    <phoneticPr fontId="3" type="noConversion"/>
  </si>
  <si>
    <t>010-5713-1276</t>
    <phoneticPr fontId="3" type="noConversion"/>
  </si>
  <si>
    <t>sjw1112@aaarchigroup.com</t>
    <phoneticPr fontId="3" type="noConversion"/>
  </si>
  <si>
    <t>오션에이비에이션</t>
    <phoneticPr fontId="3" type="noConversion"/>
  </si>
  <si>
    <t>강순철</t>
    <phoneticPr fontId="3" type="noConversion"/>
  </si>
  <si>
    <t>010-7744-6257</t>
    <phoneticPr fontId="3" type="noConversion"/>
  </si>
  <si>
    <t>parksj@oceanaviation.kr</t>
    <phoneticPr fontId="3" type="noConversion"/>
  </si>
  <si>
    <t>인당 월 20~30만 (월 1~2천만), 2월 도입 예정</t>
    <phoneticPr fontId="3" type="noConversion"/>
  </si>
  <si>
    <t>아스트로스</t>
    <phoneticPr fontId="3" type="noConversion"/>
  </si>
  <si>
    <t>광진</t>
    <phoneticPr fontId="3" type="noConversion"/>
  </si>
  <si>
    <t>인당 연 500~600만 (월 600만)</t>
    <phoneticPr fontId="3" type="noConversion"/>
  </si>
  <si>
    <t>이세롬</t>
    <phoneticPr fontId="3" type="noConversion"/>
  </si>
  <si>
    <t>010-9119-9117</t>
    <phoneticPr fontId="3" type="noConversion"/>
  </si>
  <si>
    <t>srlee@astros.co.kr</t>
    <phoneticPr fontId="3" type="noConversion"/>
  </si>
  <si>
    <t>이앤코퍼레이션</t>
    <phoneticPr fontId="3" type="noConversion"/>
  </si>
  <si>
    <t>인당 연 200~300만 (월 2천만)</t>
    <phoneticPr fontId="3" type="noConversion"/>
  </si>
  <si>
    <t>오디임</t>
    <phoneticPr fontId="3" type="noConversion"/>
  </si>
  <si>
    <t>010-5250-9293</t>
    <phoneticPr fontId="3" type="noConversion"/>
  </si>
  <si>
    <t>비에스아이시스템</t>
    <phoneticPr fontId="3" type="noConversion"/>
  </si>
  <si>
    <t>남양주</t>
    <phoneticPr fontId="3" type="noConversion"/>
  </si>
  <si>
    <t>인당 월 20~30만 (월 3~4백만)</t>
    <phoneticPr fontId="3" type="noConversion"/>
  </si>
  <si>
    <t>조미선</t>
    <phoneticPr fontId="3" type="noConversion"/>
  </si>
  <si>
    <t>010-4424-4221</t>
    <phoneticPr fontId="3" type="noConversion"/>
  </si>
  <si>
    <t>msjo@bsisystem.co.kr</t>
    <phoneticPr fontId="3" type="noConversion"/>
  </si>
  <si>
    <t>SK시그넷</t>
    <phoneticPr fontId="3" type="noConversion"/>
  </si>
  <si>
    <t>최다연</t>
    <phoneticPr fontId="3" type="noConversion"/>
  </si>
  <si>
    <t>dy@sk.com</t>
    <phoneticPr fontId="3" type="noConversion"/>
  </si>
  <si>
    <t>위앤유택</t>
    <phoneticPr fontId="3" type="noConversion"/>
  </si>
  <si>
    <t>인당 연 50만 (월 60만)</t>
    <phoneticPr fontId="3" type="noConversion"/>
  </si>
  <si>
    <t>hj.han@wnytech.com</t>
    <phoneticPr fontId="3" type="noConversion"/>
  </si>
  <si>
    <t>마이닷</t>
    <phoneticPr fontId="3" type="noConversion"/>
  </si>
  <si>
    <t>인당 월 20만 (월 200~250만)</t>
    <phoneticPr fontId="3" type="noConversion"/>
  </si>
  <si>
    <t>김제영</t>
    <phoneticPr fontId="3" type="noConversion"/>
  </si>
  <si>
    <t>010-4429-2541</t>
    <phoneticPr fontId="3" type="noConversion"/>
  </si>
  <si>
    <t>jeyang@mydot.kr</t>
    <phoneticPr fontId="3" type="noConversion"/>
  </si>
  <si>
    <t>한국켄트외국인학교</t>
    <phoneticPr fontId="3" type="noConversion"/>
  </si>
  <si>
    <t>인당 연 100만 (월 100만)</t>
    <phoneticPr fontId="3" type="noConversion"/>
  </si>
  <si>
    <t>황성구</t>
    <phoneticPr fontId="3" type="noConversion"/>
  </si>
  <si>
    <t>010-2744-8222</t>
    <phoneticPr fontId="3" type="noConversion"/>
  </si>
  <si>
    <t>hwang@kkfs.org</t>
    <phoneticPr fontId="3" type="noConversion"/>
  </si>
  <si>
    <t>써킷포일룩셈부르크</t>
    <phoneticPr fontId="3" type="noConversion"/>
  </si>
  <si>
    <t>인당 연 240만 (월 100만)</t>
    <phoneticPr fontId="3" type="noConversion"/>
  </si>
  <si>
    <t>김다영</t>
    <phoneticPr fontId="3" type="noConversion"/>
  </si>
  <si>
    <t>010-9946-8101</t>
    <phoneticPr fontId="3" type="noConversion"/>
  </si>
  <si>
    <t>dayoung.kim@circuitfoil.com</t>
    <phoneticPr fontId="3" type="noConversion"/>
  </si>
  <si>
    <t>라이토즈</t>
    <phoneticPr fontId="3" type="noConversion"/>
  </si>
  <si>
    <t>010-6520-0409</t>
    <phoneticPr fontId="3" type="noConversion"/>
  </si>
  <si>
    <t>하렌카</t>
    <phoneticPr fontId="3" type="noConversion"/>
  </si>
  <si>
    <t>인당 월 20만 (월 80만)</t>
    <phoneticPr fontId="3" type="noConversion"/>
  </si>
  <si>
    <t>김권수</t>
    <phoneticPr fontId="3" type="noConversion"/>
  </si>
  <si>
    <t>010-6283-9052</t>
    <phoneticPr fontId="3" type="noConversion"/>
  </si>
  <si>
    <t>kwonsu.kim@harmonygroup.co.kr</t>
    <phoneticPr fontId="3" type="noConversion"/>
  </si>
  <si>
    <t>한빛코리아</t>
    <phoneticPr fontId="3" type="noConversion"/>
  </si>
  <si>
    <t>ejlm@hanbitko.com</t>
    <phoneticPr fontId="3" type="noConversion"/>
  </si>
  <si>
    <t>이재균</t>
    <phoneticPr fontId="3" type="noConversion"/>
  </si>
  <si>
    <t>010-2431-9506</t>
    <phoneticPr fontId="3" type="noConversion"/>
  </si>
  <si>
    <t>인당 연 30만 (월 100만), 기 고객사 씨엠테크 자회사</t>
    <phoneticPr fontId="3" type="noConversion"/>
  </si>
  <si>
    <t>제원엘에이디</t>
    <phoneticPr fontId="3" type="noConversion"/>
  </si>
  <si>
    <t>김경리</t>
    <phoneticPr fontId="3" type="noConversion"/>
  </si>
  <si>
    <t>010-4090-8815</t>
    <phoneticPr fontId="3" type="noConversion"/>
  </si>
  <si>
    <t>kkm2578@kurarie.com</t>
    <phoneticPr fontId="3" type="noConversion"/>
  </si>
  <si>
    <t>그래비티벤처스</t>
    <phoneticPr fontId="3" type="noConversion"/>
  </si>
  <si>
    <t>주한미국상공회의소</t>
    <phoneticPr fontId="3" type="noConversion"/>
  </si>
  <si>
    <t>사유 : 현대이지웰 유지 확정 (신한카드 연동불가 이슈)</t>
    <phoneticPr fontId="3" type="noConversion"/>
  </si>
  <si>
    <t>PLUSEG</t>
    <phoneticPr fontId="3" type="noConversion"/>
  </si>
  <si>
    <t>DEXAR</t>
    <phoneticPr fontId="3" type="noConversion"/>
  </si>
  <si>
    <t>건강기능식품판매업</t>
    <phoneticPr fontId="3" type="noConversion"/>
  </si>
  <si>
    <t>서울 서초구</t>
    <phoneticPr fontId="3" type="noConversion"/>
  </si>
  <si>
    <t>교육업</t>
    <phoneticPr fontId="3" type="noConversion"/>
  </si>
  <si>
    <t>서울 광진구</t>
    <phoneticPr fontId="3" type="noConversion"/>
  </si>
  <si>
    <t>HARENCAR</t>
    <phoneticPr fontId="3" type="noConversion"/>
  </si>
  <si>
    <t>하모니 자회사</t>
    <phoneticPr fontId="3" type="noConversion"/>
  </si>
  <si>
    <t>중고자동차판매업</t>
    <phoneticPr fontId="3" type="noConversion"/>
  </si>
  <si>
    <t>서울 강서구</t>
    <phoneticPr fontId="3" type="noConversion"/>
  </si>
  <si>
    <t>KKFS</t>
    <phoneticPr fontId="3" type="noConversion"/>
  </si>
  <si>
    <t>KBN</t>
    <phoneticPr fontId="3" type="noConversion"/>
  </si>
  <si>
    <t>엘림비엠에스_인천공항</t>
    <phoneticPr fontId="3" type="noConversion"/>
  </si>
  <si>
    <t>ELLIMICN</t>
    <phoneticPr fontId="3" type="noConversion"/>
  </si>
  <si>
    <t>삼구아이앤씨_항공보안</t>
    <phoneticPr fontId="3" type="noConversion"/>
  </si>
  <si>
    <t>SAMKOO39</t>
    <phoneticPr fontId="3" type="noConversion"/>
  </si>
  <si>
    <t>SKLSKA</t>
    <phoneticPr fontId="3" type="noConversion"/>
  </si>
  <si>
    <t>SKLSAQ</t>
    <phoneticPr fontId="3" type="noConversion"/>
  </si>
  <si>
    <t>SECURITY4</t>
    <phoneticPr fontId="3" type="noConversion"/>
  </si>
  <si>
    <t>장풍이노베이션</t>
    <phoneticPr fontId="3" type="noConversion"/>
  </si>
  <si>
    <t>엑스퍼트</t>
    <phoneticPr fontId="3" type="noConversion"/>
  </si>
  <si>
    <t>JP</t>
    <phoneticPr fontId="3" type="noConversion"/>
  </si>
  <si>
    <t>XPT</t>
    <phoneticPr fontId="3" type="noConversion"/>
  </si>
  <si>
    <t>LOTTEPUS</t>
    <phoneticPr fontId="3" type="noConversion"/>
  </si>
  <si>
    <t>KACCJU</t>
    <phoneticPr fontId="3" type="noConversion"/>
  </si>
  <si>
    <t>삼구엘에스_인천공항여객운송</t>
    <phoneticPr fontId="3" type="noConversion"/>
  </si>
  <si>
    <t>삼구엘에스_아시아나인천여객운송</t>
    <phoneticPr fontId="3" type="noConversion"/>
  </si>
  <si>
    <t>삼구엘에스_아시아나김포여객운송</t>
    <phoneticPr fontId="3" type="noConversion"/>
  </si>
  <si>
    <t>아시아나항공_밀쿠폰</t>
    <phoneticPr fontId="3" type="noConversion"/>
  </si>
  <si>
    <t>롯데면세점_제주공항</t>
    <phoneticPr fontId="3" type="noConversion"/>
  </si>
  <si>
    <t>에이티에스_김해공항</t>
    <phoneticPr fontId="3" type="noConversion"/>
  </si>
  <si>
    <t>한국공항공사_제주공항</t>
    <phoneticPr fontId="3" type="noConversion"/>
  </si>
  <si>
    <t>롯데면세점_김해공항</t>
    <phoneticPr fontId="3" type="noConversion"/>
  </si>
  <si>
    <t>유니에스시큐리티_김포보안검색</t>
    <phoneticPr fontId="3" type="noConversion"/>
  </si>
  <si>
    <t>유니에스시큐리티_김해공항</t>
    <phoneticPr fontId="3" type="noConversion"/>
  </si>
  <si>
    <t>유니에스시큐리티_제주공항</t>
    <phoneticPr fontId="3" type="noConversion"/>
  </si>
  <si>
    <t>월드유니텍_김포공항</t>
    <phoneticPr fontId="3" type="noConversion"/>
  </si>
  <si>
    <t>일 6,500원</t>
    <phoneticPr fontId="3" type="noConversion"/>
  </si>
  <si>
    <t>1식 6,000원, 매장별 단가상이(5,000원~8,000원)</t>
    <phoneticPr fontId="3" type="noConversion"/>
  </si>
  <si>
    <t>일 9,000원</t>
    <phoneticPr fontId="3" type="noConversion"/>
  </si>
  <si>
    <t>월 100,000원</t>
    <phoneticPr fontId="3" type="noConversion"/>
  </si>
  <si>
    <t>월 50,000원</t>
    <phoneticPr fontId="3" type="noConversion"/>
  </si>
  <si>
    <t>일 7,000원</t>
    <phoneticPr fontId="3" type="noConversion"/>
  </si>
  <si>
    <t>구내식당 6,000원, 외부식권 6,500원</t>
    <phoneticPr fontId="3" type="noConversion"/>
  </si>
  <si>
    <t>월드유니텍_아시아나타운</t>
    <phoneticPr fontId="3" type="noConversion"/>
  </si>
  <si>
    <t>WORLDGOZ</t>
    <phoneticPr fontId="3" type="noConversion"/>
  </si>
  <si>
    <t>일 7,500원</t>
    <phoneticPr fontId="3" type="noConversion"/>
  </si>
  <si>
    <t>월 200,000원</t>
    <phoneticPr fontId="3" type="noConversion"/>
  </si>
  <si>
    <t>일 8,000원</t>
    <phoneticPr fontId="3" type="noConversion"/>
  </si>
  <si>
    <t>UJBW</t>
    <phoneticPr fontId="3" type="noConversion"/>
  </si>
  <si>
    <t>피그건축사사무소</t>
    <phoneticPr fontId="3" type="noConversion"/>
  </si>
  <si>
    <t>FIG</t>
    <phoneticPr fontId="3" type="noConversion"/>
  </si>
  <si>
    <t>건축설계업</t>
    <phoneticPr fontId="3" type="noConversion"/>
  </si>
  <si>
    <t>타이탄컴퍼니</t>
    <phoneticPr fontId="3" type="noConversion"/>
  </si>
  <si>
    <t>TITANZ</t>
    <phoneticPr fontId="3" type="noConversion"/>
  </si>
  <si>
    <t>전자상거래도매업</t>
    <phoneticPr fontId="3" type="noConversion"/>
  </si>
  <si>
    <t>서울 강남구</t>
    <phoneticPr fontId="3" type="noConversion"/>
  </si>
  <si>
    <t>클래스어라운드 계열사</t>
    <phoneticPr fontId="3" type="noConversion"/>
  </si>
  <si>
    <t>HANBIT</t>
    <phoneticPr fontId="3" type="noConversion"/>
  </si>
  <si>
    <t>생활화학,화장품제조업</t>
    <phoneticPr fontId="3" type="noConversion"/>
  </si>
  <si>
    <t>씨엠테크 자회사</t>
    <phoneticPr fontId="3" type="noConversion"/>
  </si>
  <si>
    <t>최윤혜</t>
    <phoneticPr fontId="3" type="noConversion"/>
  </si>
  <si>
    <t>010-9266-9762</t>
    <phoneticPr fontId="3" type="noConversion"/>
  </si>
  <si>
    <t>luna@gravityventures.kr</t>
  </si>
  <si>
    <t>윤보미</t>
    <phoneticPr fontId="3" type="noConversion"/>
  </si>
  <si>
    <t>02-6201-2215</t>
    <phoneticPr fontId="3" type="noConversion"/>
  </si>
  <si>
    <t>finance@amchamkorea.org</t>
    <phoneticPr fontId="3" type="noConversion"/>
  </si>
  <si>
    <t>이주한</t>
    <phoneticPr fontId="3" type="noConversion"/>
  </si>
  <si>
    <t>010-9667-8775</t>
    <phoneticPr fontId="3" type="noConversion"/>
  </si>
  <si>
    <t>jh@f-i-g.kr</t>
    <phoneticPr fontId="3" type="noConversion"/>
  </si>
  <si>
    <t>리얼콘텐츠</t>
    <phoneticPr fontId="3" type="noConversion"/>
  </si>
  <si>
    <t>인당 월 20만원 (월 100만)</t>
    <phoneticPr fontId="3" type="noConversion"/>
  </si>
  <si>
    <t>이대영</t>
    <phoneticPr fontId="3" type="noConversion"/>
  </si>
  <si>
    <t>010-7633-6823</t>
    <phoneticPr fontId="3" type="noConversion"/>
  </si>
  <si>
    <t>ernest613@realcontents.co.kr</t>
    <phoneticPr fontId="3" type="noConversion"/>
  </si>
  <si>
    <t>엔에프티한국</t>
    <phoneticPr fontId="3" type="noConversion"/>
  </si>
  <si>
    <t>인당 월 7만원 (월 56만)</t>
    <phoneticPr fontId="3" type="noConversion"/>
  </si>
  <si>
    <t>심상아</t>
    <phoneticPr fontId="3" type="noConversion"/>
  </si>
  <si>
    <t>010-8924-9182</t>
    <phoneticPr fontId="3" type="noConversion"/>
  </si>
  <si>
    <t>sashim@nuflare.co.kr</t>
    <phoneticPr fontId="3" type="noConversion"/>
  </si>
  <si>
    <t>인당 월 24만원 (월 800만)</t>
    <phoneticPr fontId="3" type="noConversion"/>
  </si>
  <si>
    <t>임채희</t>
    <phoneticPr fontId="3" type="noConversion"/>
  </si>
  <si>
    <t>010-4407-1797</t>
    <phoneticPr fontId="3" type="noConversion"/>
  </si>
  <si>
    <t>chlim@titanz.co.kr</t>
    <phoneticPr fontId="3" type="noConversion"/>
  </si>
  <si>
    <t>드림플레이게임즈</t>
    <phoneticPr fontId="3" type="noConversion"/>
  </si>
  <si>
    <t>인당 월 10만원 (월 100만)</t>
    <phoneticPr fontId="3" type="noConversion"/>
  </si>
  <si>
    <t>윤동주</t>
    <phoneticPr fontId="3" type="noConversion"/>
  </si>
  <si>
    <t>010-5948-4535</t>
    <phoneticPr fontId="3" type="noConversion"/>
  </si>
  <si>
    <t>ydj@dreamplaygames.co.kr</t>
    <phoneticPr fontId="3" type="noConversion"/>
  </si>
  <si>
    <t>타이거리서치</t>
    <phoneticPr fontId="3" type="noConversion"/>
  </si>
  <si>
    <t>인당 일 1만원 (월 140만)</t>
    <phoneticPr fontId="3" type="noConversion"/>
  </si>
  <si>
    <t>리안</t>
    <phoneticPr fontId="3" type="noConversion"/>
  </si>
  <si>
    <t>010-3348-2859</t>
    <phoneticPr fontId="3" type="noConversion"/>
  </si>
  <si>
    <t>sick9577@gmail.com</t>
    <phoneticPr fontId="3" type="noConversion"/>
  </si>
  <si>
    <t>컬쳐임팩트</t>
    <phoneticPr fontId="3" type="noConversion"/>
  </si>
  <si>
    <t>광주시</t>
    <phoneticPr fontId="3" type="noConversion"/>
  </si>
  <si>
    <t>유예은</t>
    <phoneticPr fontId="3" type="noConversion"/>
  </si>
  <si>
    <t>010-5060-5710</t>
    <phoneticPr fontId="3" type="noConversion"/>
  </si>
  <si>
    <t>c_impact@naver.com</t>
    <phoneticPr fontId="3" type="noConversion"/>
  </si>
  <si>
    <t>REALCT</t>
    <phoneticPr fontId="3" type="noConversion"/>
  </si>
  <si>
    <t>경기 수원시</t>
    <phoneticPr fontId="3" type="noConversion"/>
  </si>
  <si>
    <r>
      <rPr>
        <b/>
        <sz val="9"/>
        <color theme="1"/>
        <rFont val="맑은 고딕"/>
        <family val="3"/>
        <charset val="129"/>
      </rPr>
      <t xml:space="preserve">■ 비즈플러스제휴팀 </t>
    </r>
    <r>
      <rPr>
        <b/>
        <sz val="9"/>
        <color theme="1"/>
        <rFont val="맑은 고딕"/>
        <family val="3"/>
        <charset val="129"/>
        <scheme val="minor"/>
      </rPr>
      <t>26년 오픈현황 (두레이 등록기준)</t>
    </r>
    <phoneticPr fontId="3" type="noConversion"/>
  </si>
  <si>
    <t>YUMSEM</t>
    <phoneticPr fontId="3" type="noConversion"/>
  </si>
  <si>
    <t>서울 금천구</t>
    <phoneticPr fontId="3" type="noConversion"/>
  </si>
  <si>
    <t>방송프로그램제작업</t>
    <phoneticPr fontId="3" type="noConversion"/>
  </si>
  <si>
    <t>프랜차이즈음식업</t>
    <phoneticPr fontId="3" type="noConversion"/>
  </si>
  <si>
    <t>아시아나항공_생수</t>
    <phoneticPr fontId="3" type="noConversion"/>
  </si>
  <si>
    <t>ASIANA10</t>
    <phoneticPr fontId="3" type="noConversion"/>
  </si>
  <si>
    <t>인천 옹진군</t>
    <phoneticPr fontId="3" type="noConversion"/>
  </si>
  <si>
    <t>인천 중구</t>
    <phoneticPr fontId="3" type="noConversion"/>
  </si>
  <si>
    <t>인당 50,000원</t>
    <phoneticPr fontId="3" type="noConversion"/>
  </si>
  <si>
    <t>매출원가 (47%)</t>
    <phoneticPr fontId="3" type="noConversion"/>
  </si>
  <si>
    <t>시스템노바</t>
    <phoneticPr fontId="3" type="noConversion"/>
  </si>
  <si>
    <t>교육컨텐츠제작업</t>
    <phoneticPr fontId="3" type="noConversion"/>
  </si>
  <si>
    <t xml:space="preserve"> 헬로스킨</t>
    <phoneticPr fontId="3" type="noConversion"/>
  </si>
  <si>
    <t>HELLO</t>
    <phoneticPr fontId="3" type="noConversion"/>
  </si>
  <si>
    <t>인포텍코퍼레이션</t>
    <phoneticPr fontId="3" type="noConversion"/>
  </si>
  <si>
    <t>INFOTECH</t>
    <phoneticPr fontId="3" type="noConversion"/>
  </si>
  <si>
    <t>서울 성동구</t>
    <phoneticPr fontId="3" type="noConversion"/>
  </si>
  <si>
    <t>정련 및 합금제조업</t>
    <phoneticPr fontId="3" type="noConversion"/>
  </si>
  <si>
    <t>경기 안산시</t>
    <phoneticPr fontId="3" type="noConversion"/>
  </si>
  <si>
    <t>OCEANAV</t>
    <phoneticPr fontId="3" type="noConversion"/>
  </si>
  <si>
    <t>항공 지상조업 서비스업</t>
    <phoneticPr fontId="3" type="noConversion"/>
  </si>
  <si>
    <t>부산 강서구</t>
    <phoneticPr fontId="3" type="noConversion"/>
  </si>
  <si>
    <t>유앤아이의원</t>
    <phoneticPr fontId="3" type="noConversion"/>
  </si>
  <si>
    <t>YANDI</t>
    <phoneticPr fontId="3" type="noConversion"/>
  </si>
  <si>
    <t>현진시스템</t>
    <phoneticPr fontId="3" type="noConversion"/>
  </si>
  <si>
    <t>HJSYS</t>
    <phoneticPr fontId="3" type="noConversion"/>
  </si>
  <si>
    <t>경기 용인시</t>
    <phoneticPr fontId="3" type="noConversion"/>
  </si>
  <si>
    <t>엔에스티바이오</t>
    <phoneticPr fontId="3" type="noConversion"/>
  </si>
  <si>
    <t>NSTBIO</t>
    <phoneticPr fontId="3" type="noConversion"/>
  </si>
  <si>
    <t>경기 김포시</t>
    <phoneticPr fontId="3" type="noConversion"/>
  </si>
  <si>
    <t>NFTKR</t>
    <phoneticPr fontId="3" type="noConversion"/>
  </si>
  <si>
    <t>경기 화성시</t>
    <phoneticPr fontId="3" type="noConversion"/>
  </si>
  <si>
    <t>반도체장비서비스업</t>
    <phoneticPr fontId="3" type="noConversion"/>
  </si>
  <si>
    <t>커브라인의원</t>
    <phoneticPr fontId="3" type="noConversion"/>
  </si>
  <si>
    <t>CURVELINE</t>
    <phoneticPr fontId="3" type="noConversion"/>
  </si>
  <si>
    <t>여행박사</t>
    <phoneticPr fontId="3" type="noConversion"/>
  </si>
  <si>
    <t>DRTOUR</t>
    <phoneticPr fontId="3" type="noConversion"/>
  </si>
  <si>
    <t>오파스넷</t>
    <phoneticPr fontId="3" type="noConversion"/>
  </si>
  <si>
    <t>OPASNET</t>
    <phoneticPr fontId="3" type="noConversion"/>
  </si>
  <si>
    <t>소프트웨어컨설팅제공업</t>
    <phoneticPr fontId="3" type="noConversion"/>
  </si>
  <si>
    <t>인당 일 1만원 (월 800만)</t>
    <phoneticPr fontId="3" type="noConversion"/>
  </si>
  <si>
    <t>대광건영(수내지사)</t>
    <phoneticPr fontId="3" type="noConversion"/>
  </si>
  <si>
    <t>인당 월 30만 (월 500만)</t>
    <phoneticPr fontId="3" type="noConversion"/>
  </si>
  <si>
    <t>010-6856-0529</t>
    <phoneticPr fontId="3" type="noConversion"/>
  </si>
  <si>
    <t>010-9220-5763</t>
    <phoneticPr fontId="3" type="noConversion"/>
  </si>
  <si>
    <t>이재훈</t>
    <phoneticPr fontId="3" type="noConversion"/>
  </si>
  <si>
    <t>ljh78@opasnet.co.kr</t>
    <phoneticPr fontId="3" type="noConversion"/>
  </si>
  <si>
    <t>인당 연 100만 (연 2천만)</t>
    <phoneticPr fontId="3" type="noConversion"/>
  </si>
  <si>
    <t>효성에스티티지디씨</t>
    <phoneticPr fontId="3" type="noConversion"/>
  </si>
  <si>
    <t>담당자 효성에서 이직하여 소개 인입</t>
    <phoneticPr fontId="3" type="noConversion"/>
  </si>
  <si>
    <t>이노보테라퓨틱스</t>
    <phoneticPr fontId="3" type="noConversion"/>
  </si>
  <si>
    <t>인당 연 50만 (연 160만)</t>
    <phoneticPr fontId="3" type="noConversion"/>
  </si>
  <si>
    <t>sujin.lee@comet.ch</t>
    <phoneticPr fontId="3" type="noConversion"/>
  </si>
  <si>
    <t>수원 영통</t>
    <phoneticPr fontId="3" type="noConversion"/>
  </si>
  <si>
    <t>인당 일 1만원 (월 600만)</t>
    <phoneticPr fontId="3" type="noConversion"/>
  </si>
  <si>
    <t>kchh1023@urp.ai.kr</t>
    <phoneticPr fontId="3" type="noConversion"/>
  </si>
  <si>
    <t>증미역</t>
    <phoneticPr fontId="3" type="noConversion"/>
  </si>
  <si>
    <t>인당 일 15,000원 야근식대 지원 (월 3~4백만)</t>
    <phoneticPr fontId="3" type="noConversion"/>
  </si>
  <si>
    <t>다사마케팅</t>
    <phoneticPr fontId="3" type="noConversion"/>
  </si>
  <si>
    <t>인당 월 10~15만 식대 + 연 50만 복지포인트 지급 (월 2천만)</t>
    <phoneticPr fontId="3" type="noConversion"/>
  </si>
  <si>
    <t>김하은</t>
    <phoneticPr fontId="3" type="noConversion"/>
  </si>
  <si>
    <t>dasamkt@naver.com</t>
    <phoneticPr fontId="3" type="noConversion"/>
  </si>
  <si>
    <t>조은미</t>
    <phoneticPr fontId="3" type="noConversion"/>
  </si>
  <si>
    <t xml:space="preserve">unmi@jplanit.com
</t>
    <phoneticPr fontId="3" type="noConversion"/>
  </si>
  <si>
    <t>인당 연 80만 (월 300만)</t>
    <phoneticPr fontId="3" type="noConversion"/>
  </si>
  <si>
    <t>IM캐피탈</t>
    <phoneticPr fontId="3" type="noConversion"/>
  </si>
  <si>
    <t>02-2193-7742</t>
    <phoneticPr fontId="3" type="noConversion"/>
  </si>
  <si>
    <t>binseo.kim@happyelements.com</t>
    <phoneticPr fontId="3" type="noConversion"/>
  </si>
  <si>
    <t>인당 야근식대 1만원 (월 100만)</t>
    <phoneticPr fontId="3" type="noConversion"/>
  </si>
  <si>
    <t>오르드</t>
    <phoneticPr fontId="3" type="noConversion"/>
  </si>
  <si>
    <t>ordhouse@ordhouse.com</t>
    <phoneticPr fontId="3" type="noConversion"/>
  </si>
  <si>
    <t>ceramique_sinsa@naver.com</t>
    <phoneticPr fontId="3" type="noConversion"/>
  </si>
  <si>
    <t>이고은</t>
    <phoneticPr fontId="3" type="noConversion"/>
  </si>
  <si>
    <t>인당 월 20만 (월 200만)</t>
    <phoneticPr fontId="3" type="noConversion"/>
  </si>
  <si>
    <t>광양시</t>
    <phoneticPr fontId="3" type="noConversion"/>
  </si>
  <si>
    <t>인당 연 50만 (연 400만)</t>
    <phoneticPr fontId="3" type="noConversion"/>
  </si>
  <si>
    <t>인당 연 60만 (연 1,800만)</t>
    <phoneticPr fontId="3" type="noConversion"/>
  </si>
  <si>
    <t>02-911-4112</t>
  </si>
  <si>
    <t>shpaek@sercrim.com</t>
    <phoneticPr fontId="3" type="noConversion"/>
  </si>
  <si>
    <t>성북구</t>
    <phoneticPr fontId="3" type="noConversion"/>
  </si>
  <si>
    <t>에스에스알</t>
    <phoneticPr fontId="3" type="noConversion"/>
  </si>
  <si>
    <t>인당 월 10만 (월 1,100만)</t>
    <phoneticPr fontId="3" type="noConversion"/>
  </si>
  <si>
    <t>비플 복지포인트 이용 중 (비플식권 비딩)</t>
    <phoneticPr fontId="3" type="noConversion"/>
  </si>
  <si>
    <t>031-780-9033</t>
  </si>
  <si>
    <t>팀버라인</t>
    <phoneticPr fontId="3" type="noConversion"/>
  </si>
  <si>
    <t>인당 월 7만원 ( 월 260만)</t>
    <phoneticPr fontId="3" type="noConversion"/>
  </si>
  <si>
    <t>모란역</t>
    <phoneticPr fontId="3" type="noConversion"/>
  </si>
  <si>
    <t>완화케미칼코리아</t>
    <phoneticPr fontId="3" type="noConversion"/>
  </si>
  <si>
    <t>평택,용인</t>
    <phoneticPr fontId="3" type="noConversion"/>
  </si>
  <si>
    <t>인당 월 20만원 (월 1,500만)</t>
    <phoneticPr fontId="3" type="noConversion"/>
  </si>
  <si>
    <t>신사역</t>
    <phoneticPr fontId="3" type="noConversion"/>
  </si>
  <si>
    <t>인당 월 16만 (월 400만)</t>
    <phoneticPr fontId="3" type="noConversion"/>
  </si>
  <si>
    <t>010-5675-0718</t>
  </si>
  <si>
    <t>인당 월 10~20만 (월 500~600만)</t>
    <phoneticPr fontId="3" type="noConversion"/>
  </si>
  <si>
    <t>유사투자자문업으로, 사업 위법상 확인 필요</t>
    <phoneticPr fontId="3" type="noConversion"/>
  </si>
  <si>
    <t>jjkim5463@naver.com</t>
    <phoneticPr fontId="3" type="noConversion"/>
  </si>
  <si>
    <t>인당 일 13,000원 (월 280만)</t>
    <phoneticPr fontId="3" type="noConversion"/>
  </si>
  <si>
    <t>커브라인 </t>
    <phoneticPr fontId="3" type="noConversion"/>
  </si>
  <si>
    <t>김규민</t>
    <phoneticPr fontId="3" type="noConversion"/>
  </si>
  <si>
    <t>kkm@infotech.co.kr</t>
    <phoneticPr fontId="3" type="noConversion"/>
  </si>
  <si>
    <t>ebchoi@ssrinc.co.kr</t>
    <phoneticPr fontId="3" type="noConversion"/>
  </si>
  <si>
    <t>김보경</t>
    <phoneticPr fontId="3" type="noConversion"/>
  </si>
  <si>
    <t>bgkim@hjsys.net</t>
    <phoneticPr fontId="3" type="noConversion"/>
  </si>
  <si>
    <t>한아름</t>
    <phoneticPr fontId="3" type="noConversion"/>
  </si>
  <si>
    <t>dl_drtour@drtour.com</t>
    <phoneticPr fontId="3" type="noConversion"/>
  </si>
  <si>
    <t>김종하</t>
    <phoneticPr fontId="3" type="noConversion"/>
  </si>
  <si>
    <t>송홍석</t>
    <phoneticPr fontId="3" type="noConversion"/>
  </si>
  <si>
    <t>redstone@telepix.net</t>
    <phoneticPr fontId="3" type="noConversion"/>
  </si>
  <si>
    <t>조찬호 </t>
    <phoneticPr fontId="3" type="noConversion"/>
  </si>
  <si>
    <t> jodal@clickdk.com</t>
    <phoneticPr fontId="3" type="noConversion"/>
  </si>
  <si>
    <t>고여주</t>
    <phoneticPr fontId="3" type="noConversion"/>
  </si>
  <si>
    <t>yoju.ko@sttelemediagdc.co.kr</t>
    <phoneticPr fontId="3" type="noConversion"/>
  </si>
  <si>
    <t>조수연</t>
    <phoneticPr fontId="3" type="noConversion"/>
  </si>
  <si>
    <t>syeon@innovothera.com</t>
    <phoneticPr fontId="3" type="noConversion"/>
  </si>
  <si>
    <t>이수진</t>
    <phoneticPr fontId="3" type="noConversion"/>
  </si>
  <si>
    <t>정진화</t>
    <phoneticPr fontId="3" type="noConversion"/>
  </si>
  <si>
    <t>01058996532 </t>
    <phoneticPr fontId="3" type="noConversion"/>
  </si>
  <si>
    <t>jina.jung@oscokorea.com</t>
    <phoneticPr fontId="3" type="noConversion"/>
  </si>
  <si>
    <t>02-6297-3311</t>
    <phoneticPr fontId="3" type="noConversion"/>
  </si>
  <si>
    <t>leesj@imfng.com</t>
    <phoneticPr fontId="3" type="noConversion"/>
  </si>
  <si>
    <t>김빈서</t>
    <phoneticPr fontId="3" type="noConversion"/>
  </si>
  <si>
    <t>서명철</t>
    <phoneticPr fontId="3" type="noConversion"/>
  </si>
  <si>
    <t>고미경</t>
    <phoneticPr fontId="3" type="noConversion"/>
  </si>
  <si>
    <t>dbs2797@danbiind.com</t>
    <phoneticPr fontId="3" type="noConversion"/>
  </si>
  <si>
    <t>백선화</t>
    <phoneticPr fontId="3" type="noConversion"/>
  </si>
  <si>
    <t>서희진</t>
    <phoneticPr fontId="3" type="noConversion"/>
  </si>
  <si>
    <t>eoeei0330@ccei.kr</t>
    <phoneticPr fontId="3" type="noConversion"/>
  </si>
  <si>
    <t>이지혜</t>
    <phoneticPr fontId="3" type="noConversion"/>
  </si>
  <si>
    <t>hailey@timberlines.co.kr</t>
    <phoneticPr fontId="3" type="noConversion"/>
  </si>
  <si>
    <t>이다은</t>
    <phoneticPr fontId="3" type="noConversion"/>
  </si>
  <si>
    <t>delee@8pin.co.kr</t>
    <phoneticPr fontId="3" type="noConversion"/>
  </si>
  <si>
    <t>최지윤</t>
    <phoneticPr fontId="3" type="noConversion"/>
  </si>
  <si>
    <t> jychoi@whchem.com</t>
    <phoneticPr fontId="3" type="noConversion"/>
  </si>
  <si>
    <t>노승현 </t>
    <phoneticPr fontId="3" type="noConversion"/>
  </si>
  <si>
    <t>senseblog071@naver.com</t>
    <phoneticPr fontId="3" type="noConversion"/>
  </si>
  <si>
    <t>코멧테크놀로지스코리아 </t>
    <phoneticPr fontId="3" type="noConversion"/>
  </si>
  <si>
    <t>오스코</t>
    <phoneticPr fontId="3" type="noConversion"/>
  </si>
  <si>
    <t>유알피</t>
    <phoneticPr fontId="3" type="noConversion"/>
  </si>
  <si>
    <t>제이플래닛</t>
    <phoneticPr fontId="3" type="noConversion"/>
  </si>
  <si>
    <t>엘리멘타코리아 </t>
    <phoneticPr fontId="3" type="noConversion"/>
  </si>
  <si>
    <t>세라미크의원강남신사</t>
    <phoneticPr fontId="3" type="noConversion"/>
  </si>
  <si>
    <t>단비산업</t>
    <phoneticPr fontId="3" type="noConversion"/>
  </si>
  <si>
    <t>석림랩텍</t>
    <phoneticPr fontId="3" type="noConversion"/>
  </si>
  <si>
    <t>경기창조경제혁신센터</t>
    <phoneticPr fontId="3" type="noConversion"/>
  </si>
  <si>
    <t>에잇핀</t>
    <phoneticPr fontId="3" type="noConversion"/>
  </si>
  <si>
    <t>금싸라기투자</t>
    <phoneticPr fontId="3" type="noConversion"/>
  </si>
  <si>
    <t>인당 일 1만원 (월 180만)</t>
    <phoneticPr fontId="3" type="noConversion"/>
  </si>
  <si>
    <t>01029463306 </t>
  </si>
  <si>
    <t>코리아크레딧뷰로</t>
    <phoneticPr fontId="3" type="noConversion"/>
  </si>
  <si>
    <t>상세 정책 미정 (임원 대상 제휴할인 문의)</t>
    <phoneticPr fontId="3" type="noConversion"/>
  </si>
  <si>
    <t>조민정</t>
    <phoneticPr fontId="3" type="noConversion"/>
  </si>
  <si>
    <t>02-708-6376</t>
    <phoneticPr fontId="3" type="noConversion"/>
  </si>
  <si>
    <t>mj.cho@koreacb.com</t>
    <phoneticPr fontId="3" type="noConversion"/>
  </si>
  <si>
    <t>소서릭스코리아</t>
    <phoneticPr fontId="3" type="noConversion"/>
  </si>
  <si>
    <t>김채은</t>
    <phoneticPr fontId="3" type="noConversion"/>
  </si>
  <si>
    <t>chloe@sorcerics.com</t>
    <phoneticPr fontId="3" type="noConversion"/>
  </si>
  <si>
    <t>텔레픽스</t>
    <phoneticPr fontId="3" type="noConversion"/>
  </si>
  <si>
    <t>파라타항공_인천지점</t>
    <phoneticPr fontId="3" type="noConversion"/>
  </si>
  <si>
    <t>파라타항공_제주지점</t>
    <phoneticPr fontId="3" type="noConversion"/>
  </si>
  <si>
    <t>MVWE</t>
  </si>
  <si>
    <t>MVWECJU</t>
  </si>
  <si>
    <t>상상인</t>
    <phoneticPr fontId="3" type="noConversion"/>
  </si>
  <si>
    <t>SANG</t>
  </si>
  <si>
    <t>경영및관리자문업</t>
    <phoneticPr fontId="3" type="noConversion"/>
  </si>
  <si>
    <t>월 300,000원</t>
    <phoneticPr fontId="3" type="noConversion"/>
  </si>
  <si>
    <t>제주지방항공청</t>
    <phoneticPr fontId="3" type="noConversion"/>
  </si>
  <si>
    <t>JJAIR</t>
  </si>
  <si>
    <t>부동산임대</t>
    <phoneticPr fontId="3" type="noConversion"/>
  </si>
  <si>
    <t>야근식대</t>
    <phoneticPr fontId="3" type="noConversion"/>
  </si>
  <si>
    <t>에어디엠</t>
    <phoneticPr fontId="3" type="noConversion"/>
  </si>
  <si>
    <t>AIRDM</t>
  </si>
  <si>
    <t>일 14,000원</t>
    <phoneticPr fontId="3" type="noConversion"/>
  </si>
  <si>
    <t>오에이</t>
    <phoneticPr fontId="3" type="noConversion"/>
  </si>
  <si>
    <t>NHN여행박사</t>
    <phoneticPr fontId="3" type="noConversion"/>
  </si>
  <si>
    <t>예원노무법인</t>
    <phoneticPr fontId="3" type="noConversion"/>
  </si>
  <si>
    <t>월 70,000원</t>
    <phoneticPr fontId="3" type="noConversion"/>
  </si>
  <si>
    <t>월 160,000원</t>
    <phoneticPr fontId="3" type="noConversion"/>
  </si>
  <si>
    <t>윙크몰</t>
    <phoneticPr fontId="3" type="noConversion"/>
  </si>
  <si>
    <t>딜라잇컴퍼니</t>
    <phoneticPr fontId="3" type="noConversion"/>
  </si>
  <si>
    <t>DELIGHT</t>
    <phoneticPr fontId="3" type="noConversion"/>
  </si>
  <si>
    <t>공연/예술/문화업</t>
    <phoneticPr fontId="3" type="noConversion"/>
  </si>
  <si>
    <t>서울 용산구</t>
    <phoneticPr fontId="3" type="noConversion"/>
  </si>
  <si>
    <t>TIGER</t>
    <phoneticPr fontId="3" type="noConversion"/>
  </si>
  <si>
    <t>경영컨설팅업</t>
    <phoneticPr fontId="3" type="noConversion"/>
  </si>
  <si>
    <t>서울 구로구</t>
    <phoneticPr fontId="3" type="noConversion"/>
  </si>
  <si>
    <t>에바항공_김해공항</t>
    <phoneticPr fontId="3" type="noConversion"/>
  </si>
  <si>
    <t>MVBRPUS</t>
  </si>
  <si>
    <t>BKGO</t>
  </si>
  <si>
    <t>경남 김해시</t>
    <phoneticPr fontId="3" type="noConversion"/>
  </si>
  <si>
    <t>자동차차체용부품제조업</t>
    <phoneticPr fontId="3" type="noConversion"/>
  </si>
  <si>
    <t>ORD</t>
    <phoneticPr fontId="3" type="noConversion"/>
  </si>
  <si>
    <t>학원업</t>
    <phoneticPr fontId="3" type="noConversion"/>
  </si>
  <si>
    <t>즐거운여행</t>
    <phoneticPr fontId="3" type="noConversion"/>
  </si>
  <si>
    <t>GOHAPPY</t>
    <phoneticPr fontId="3" type="noConversion"/>
  </si>
  <si>
    <t>여행업</t>
    <phoneticPr fontId="3" type="noConversion"/>
  </si>
  <si>
    <t>경남도민프로축구단</t>
    <phoneticPr fontId="3" type="noConversion"/>
  </si>
  <si>
    <t>SSR</t>
    <phoneticPr fontId="3" type="noConversion"/>
  </si>
  <si>
    <t>제로쿨투어</t>
    <phoneticPr fontId="3" type="noConversion"/>
  </si>
  <si>
    <t>ZEROCOOL</t>
    <phoneticPr fontId="3" type="noConversion"/>
  </si>
  <si>
    <t>운수업</t>
    <phoneticPr fontId="3" type="noConversion"/>
  </si>
  <si>
    <t>공항</t>
  </si>
  <si>
    <t>대한항공_종각</t>
    <phoneticPr fontId="3" type="noConversion"/>
  </si>
  <si>
    <t>대한항공_충정로</t>
    <phoneticPr fontId="3" type="noConversion"/>
  </si>
  <si>
    <t>충정로</t>
    <phoneticPr fontId="3" type="noConversion"/>
  </si>
  <si>
    <t>일 12,000원</t>
    <phoneticPr fontId="3" type="noConversion"/>
  </si>
  <si>
    <t>의학연구개발업</t>
    <phoneticPr fontId="3" type="noConversion"/>
  </si>
  <si>
    <t>벳칭</t>
    <phoneticPr fontId="3" type="noConversion"/>
  </si>
  <si>
    <t>뉴큐어엠</t>
    <phoneticPr fontId="3" type="noConversion"/>
  </si>
  <si>
    <t>소프트웨어의료기기개발업</t>
    <phoneticPr fontId="3" type="noConversion"/>
  </si>
  <si>
    <t>서울 서대문구</t>
    <phoneticPr fontId="3" type="noConversion"/>
  </si>
  <si>
    <t>제약보건바이오업</t>
    <phoneticPr fontId="3" type="noConversion"/>
  </si>
  <si>
    <t>대전 유성구</t>
    <phoneticPr fontId="3" type="noConversion"/>
  </si>
  <si>
    <t>퍼플덕</t>
    <phoneticPr fontId="3" type="noConversion"/>
  </si>
  <si>
    <t>01093445409 </t>
    <phoneticPr fontId="3" type="noConversion"/>
  </si>
  <si>
    <t>01079065016 </t>
    <phoneticPr fontId="3" type="noConversion"/>
  </si>
  <si>
    <t>01040948412 </t>
    <phoneticPr fontId="3" type="noConversion"/>
  </si>
  <si>
    <t>제휴할인 문의 건, 복지포인트 도입 x</t>
    <phoneticPr fontId="3" type="noConversion"/>
  </si>
  <si>
    <t>젠티</t>
    <phoneticPr fontId="3" type="noConversion"/>
  </si>
  <si>
    <t>지숙희</t>
    <phoneticPr fontId="3" type="noConversion"/>
  </si>
  <si>
    <t>010-4859-4030</t>
    <phoneticPr fontId="3" type="noConversion"/>
  </si>
  <si>
    <t xml:space="preserve">shji@jenti.ai </t>
    <phoneticPr fontId="3" type="noConversion"/>
  </si>
  <si>
    <t>동일토건</t>
    <phoneticPr fontId="3" type="noConversion"/>
  </si>
  <si>
    <t>인당 일 11,000원 중식대 전용 복지카드 도입 검토 (비플식권 이용 중) / 월 1,800만</t>
    <phoneticPr fontId="3" type="noConversion"/>
  </si>
  <si>
    <t>양연규</t>
    <phoneticPr fontId="3" type="noConversion"/>
  </si>
  <si>
    <t>010-8005-0175</t>
    <phoneticPr fontId="3" type="noConversion"/>
  </si>
  <si>
    <t>인당 연 70만원 (월 17만)</t>
    <phoneticPr fontId="3" type="noConversion"/>
  </si>
  <si>
    <t>010-8678-6332</t>
    <phoneticPr fontId="3" type="noConversion"/>
  </si>
  <si>
    <t>ezcha@naver.com</t>
    <phoneticPr fontId="3" type="noConversion"/>
  </si>
  <si>
    <t>고려자산개발</t>
    <phoneticPr fontId="3" type="noConversion"/>
  </si>
  <si>
    <t>인당 월 20만원 (월 240만)</t>
    <phoneticPr fontId="3" type="noConversion"/>
  </si>
  <si>
    <t>이재하</t>
    <phoneticPr fontId="3" type="noConversion"/>
  </si>
  <si>
    <t>010-9190-3847</t>
    <phoneticPr fontId="3" type="noConversion"/>
  </si>
  <si>
    <t>ejh1214@spaceft.com</t>
    <phoneticPr fontId="3" type="noConversion"/>
  </si>
  <si>
    <t>정부조달수출진흥협회</t>
    <phoneticPr fontId="3" type="noConversion"/>
  </si>
  <si>
    <t>교육생 대상 일 5천원 식대 지원 (월 40~50만)</t>
    <phoneticPr fontId="3" type="noConversion"/>
  </si>
  <si>
    <t>김단이</t>
    <phoneticPr fontId="3" type="noConversion"/>
  </si>
  <si>
    <t>010-6637-8124</t>
    <phoneticPr fontId="3" type="noConversion"/>
  </si>
  <si>
    <t>dnkim@kep.or.kr</t>
    <phoneticPr fontId="3" type="noConversion"/>
  </si>
  <si>
    <t>일 6천원 T2 구내식당 이용 (월 10~15만)</t>
    <phoneticPr fontId="3" type="noConversion"/>
  </si>
  <si>
    <t>이강연</t>
    <phoneticPr fontId="3" type="noConversion"/>
  </si>
  <si>
    <t>010-2693-8915</t>
    <phoneticPr fontId="3" type="noConversion"/>
  </si>
  <si>
    <t>contact@gohappytour.co.kr</t>
    <phoneticPr fontId="3" type="noConversion"/>
  </si>
  <si>
    <t>더조은내과의원</t>
    <phoneticPr fontId="3" type="noConversion"/>
  </si>
  <si>
    <t>임수현</t>
    <phoneticPr fontId="3" type="noConversion"/>
  </si>
  <si>
    <t>010-5528-1492</t>
    <phoneticPr fontId="3" type="noConversion"/>
  </si>
  <si>
    <t xml:space="preserve">ish1665@naver.com	</t>
    <phoneticPr fontId="3" type="noConversion"/>
  </si>
  <si>
    <t>대한당구연맹</t>
    <phoneticPr fontId="3" type="noConversion"/>
  </si>
  <si>
    <t>인당 연 100~150만원 (월 100만)</t>
    <phoneticPr fontId="3" type="noConversion"/>
  </si>
  <si>
    <t>김보람</t>
    <phoneticPr fontId="3" type="noConversion"/>
  </si>
  <si>
    <t>010-9798-8410</t>
    <phoneticPr fontId="3" type="noConversion"/>
  </si>
  <si>
    <t>kbr@kbfsports.or.kr</t>
    <phoneticPr fontId="3" type="noConversion"/>
  </si>
  <si>
    <t>인테이크</t>
    <phoneticPr fontId="3" type="noConversion"/>
  </si>
  <si>
    <t>마지예</t>
    <phoneticPr fontId="3" type="noConversion"/>
  </si>
  <si>
    <t>010-3519-4146</t>
    <phoneticPr fontId="3" type="noConversion"/>
  </si>
  <si>
    <t>mjiye@intakefoods.kr</t>
    <phoneticPr fontId="3" type="noConversion"/>
  </si>
  <si>
    <t>인당 일 15,000원 ~ 2만원 식대 개인청구 (월 1천만)</t>
    <phoneticPr fontId="3" type="noConversion"/>
  </si>
  <si>
    <t>백서희</t>
    <phoneticPr fontId="3" type="noConversion"/>
  </si>
  <si>
    <t>010-9289-9922</t>
    <phoneticPr fontId="3" type="noConversion"/>
  </si>
  <si>
    <t>hr@vetching.cc</t>
    <phoneticPr fontId="3" type="noConversion"/>
  </si>
  <si>
    <t>인당 연 50만원 (연 1,000만)</t>
    <phoneticPr fontId="3" type="noConversion"/>
  </si>
  <si>
    <t>김지선</t>
    <phoneticPr fontId="3" type="noConversion"/>
  </si>
  <si>
    <t>010-5676-2569</t>
    <phoneticPr fontId="3" type="noConversion"/>
  </si>
  <si>
    <t>kjs@gyeongnamfc.com</t>
    <phoneticPr fontId="3" type="noConversion"/>
  </si>
  <si>
    <t>한국프로스포츠협회</t>
    <phoneticPr fontId="3" type="noConversion"/>
  </si>
  <si>
    <t>송민호</t>
    <phoneticPr fontId="3" type="noConversion"/>
  </si>
  <si>
    <t>010-9490-8957</t>
    <phoneticPr fontId="3" type="noConversion"/>
  </si>
  <si>
    <t>smh@prosports.or.kr</t>
    <phoneticPr fontId="3" type="noConversion"/>
  </si>
  <si>
    <t>한국다이이찌산쿄</t>
    <phoneticPr fontId="3" type="noConversion"/>
  </si>
  <si>
    <t>을지로</t>
    <phoneticPr fontId="3" type="noConversion"/>
  </si>
  <si>
    <t>인당 일 조식 4,000 ~ 4,500원 종비장부 작성 중 (월 2천만)</t>
    <phoneticPr fontId="3" type="noConversion"/>
  </si>
  <si>
    <t>이예지</t>
    <phoneticPr fontId="3" type="noConversion"/>
  </si>
  <si>
    <t>010-9873-1662</t>
    <phoneticPr fontId="3" type="noConversion"/>
  </si>
  <si>
    <t>yeji.lee@daiichisankyo.com</t>
    <phoneticPr fontId="3" type="noConversion"/>
  </si>
  <si>
    <t>인당 연 1회 비정기 상여금 지급 (상세금액 미정)</t>
    <phoneticPr fontId="3" type="noConversion"/>
  </si>
  <si>
    <t>이강철</t>
    <phoneticPr fontId="3" type="noConversion"/>
  </si>
  <si>
    <t>010-3321-9559</t>
    <phoneticPr fontId="3" type="noConversion"/>
  </si>
  <si>
    <t>l-iron@purpleduck.co.kr</t>
    <phoneticPr fontId="3" type="noConversion"/>
  </si>
  <si>
    <t>인당 월 10만 (월 230만)</t>
    <phoneticPr fontId="3" type="noConversion"/>
  </si>
  <si>
    <t>홍승희</t>
    <phoneticPr fontId="3" type="noConversion"/>
  </si>
  <si>
    <t>010-4008-6818</t>
    <phoneticPr fontId="3" type="noConversion"/>
  </si>
  <si>
    <t>tax@newcurem.com</t>
    <phoneticPr fontId="3" type="noConversion"/>
  </si>
  <si>
    <r>
      <rPr>
        <b/>
        <sz val="9"/>
        <color theme="1"/>
        <rFont val="맑은 고딕"/>
        <family val="3"/>
        <charset val="129"/>
      </rPr>
      <t xml:space="preserve">■ 비즈플러스제휴팀 </t>
    </r>
    <r>
      <rPr>
        <b/>
        <sz val="9"/>
        <color theme="1"/>
        <rFont val="맑은 고딕"/>
        <family val="3"/>
        <charset val="129"/>
        <scheme val="minor"/>
      </rPr>
      <t>26년 영업실적</t>
    </r>
    <phoneticPr fontId="3" type="noConversion"/>
  </si>
  <si>
    <t>지에스하이드로코리아</t>
    <phoneticPr fontId="3" type="noConversion"/>
  </si>
  <si>
    <t>배관시스템제조업</t>
    <phoneticPr fontId="3" type="noConversion"/>
  </si>
  <si>
    <t>모도그로브</t>
    <phoneticPr fontId="3" type="noConversion"/>
  </si>
  <si>
    <t>브릿지스피어</t>
    <phoneticPr fontId="3" type="noConversion"/>
  </si>
  <si>
    <t>[단위 : 원]</t>
    <phoneticPr fontId="3" type="noConversion"/>
  </si>
  <si>
    <t>필리핀항공</t>
    <phoneticPr fontId="3" type="noConversion"/>
  </si>
  <si>
    <t>MVPR</t>
    <phoneticPr fontId="3" type="noConversion"/>
  </si>
  <si>
    <t>GSHYDRO</t>
  </si>
  <si>
    <t>INNOVO</t>
  </si>
  <si>
    <t>PURPLEDUCK</t>
  </si>
  <si>
    <t xml:space="preserve">일 5,000원 </t>
    <phoneticPr fontId="3" type="noConversion"/>
  </si>
  <si>
    <t>일 10,000원</t>
    <phoneticPr fontId="3" type="noConversion"/>
  </si>
  <si>
    <t>연 500,000원</t>
    <phoneticPr fontId="3" type="noConversion"/>
  </si>
  <si>
    <t>연 200,000원</t>
    <phoneticPr fontId="3" type="noConversion"/>
  </si>
  <si>
    <t>연 4,000,000원</t>
    <phoneticPr fontId="3" type="noConversion"/>
  </si>
  <si>
    <t>연 150,000원</t>
    <phoneticPr fontId="3" type="noConversion"/>
  </si>
  <si>
    <t>WOONGIL</t>
    <phoneticPr fontId="3" type="noConversion"/>
  </si>
  <si>
    <t>연 1,000,000원</t>
    <phoneticPr fontId="3" type="noConversion"/>
  </si>
  <si>
    <t>연 300,000원</t>
    <phoneticPr fontId="3" type="noConversion"/>
  </si>
  <si>
    <t>연 260,000원</t>
    <phoneticPr fontId="3" type="noConversion"/>
  </si>
  <si>
    <t>연 600,000원</t>
    <phoneticPr fontId="3" type="noConversion"/>
  </si>
  <si>
    <t>SYSTEMNOVA</t>
    <phoneticPr fontId="3" type="noConversion"/>
  </si>
  <si>
    <t>월 240,000원 (연 2,880,000원)</t>
    <phoneticPr fontId="3" type="noConversion"/>
  </si>
  <si>
    <t>월 100,000원 (연 1,200,000원)</t>
    <phoneticPr fontId="3" type="noConversion"/>
  </si>
  <si>
    <t>연 1,200,000원</t>
    <phoneticPr fontId="3" type="noConversion"/>
  </si>
  <si>
    <t xml:space="preserve">월 150,000원 (연 1,800,000원) </t>
    <phoneticPr fontId="3" type="noConversion"/>
  </si>
  <si>
    <t xml:space="preserve">월 200,000원 (연 2,400,000원) </t>
    <phoneticPr fontId="3" type="noConversion"/>
  </si>
  <si>
    <t>연 1,100,000원</t>
    <phoneticPr fontId="3" type="noConversion"/>
  </si>
  <si>
    <t>연 1,350,000원</t>
    <phoneticPr fontId="3" type="noConversion"/>
  </si>
  <si>
    <t>연 1,600,000원</t>
    <phoneticPr fontId="3" type="noConversion"/>
  </si>
  <si>
    <t>월 50,000원 (연 600,000원)</t>
    <phoneticPr fontId="3" type="noConversion"/>
  </si>
  <si>
    <t>연 3,000,000원</t>
    <phoneticPr fontId="3" type="noConversion"/>
  </si>
  <si>
    <t>연 1,400,000원</t>
    <phoneticPr fontId="3" type="noConversion"/>
  </si>
  <si>
    <t>월 170,000원 (연 2,000,000원)</t>
    <phoneticPr fontId="3" type="noConversion"/>
  </si>
  <si>
    <t xml:space="preserve">연 600,000원 </t>
    <phoneticPr fontId="3" type="noConversion"/>
  </si>
  <si>
    <t>연 1,500,000원</t>
    <phoneticPr fontId="3" type="noConversion"/>
  </si>
  <si>
    <t>랩지노믹스</t>
    <phoneticPr fontId="3" type="noConversion"/>
  </si>
  <si>
    <t>일 11,000원</t>
    <phoneticPr fontId="3" type="noConversion"/>
  </si>
  <si>
    <t>소프트웨어개발업</t>
    <phoneticPr fontId="3" type="noConversion"/>
  </si>
  <si>
    <t>야근식대 일 2만원</t>
    <phoneticPr fontId="3" type="noConversion"/>
  </si>
  <si>
    <t>대구 중구</t>
    <phoneticPr fontId="3" type="noConversion"/>
  </si>
  <si>
    <t>인당 연 150만</t>
    <phoneticPr fontId="3" type="noConversion"/>
  </si>
  <si>
    <t>인당 연 100만</t>
    <phoneticPr fontId="3" type="noConversion"/>
  </si>
  <si>
    <t>THEGOODMED</t>
    <phoneticPr fontId="3" type="noConversion"/>
  </si>
  <si>
    <t>인덱스로보틱스</t>
    <phoneticPr fontId="3" type="noConversion"/>
  </si>
  <si>
    <t>산업용로봇제조업</t>
    <phoneticPr fontId="3" type="noConversion"/>
  </si>
  <si>
    <t>02-3439-1772</t>
    <phoneticPr fontId="3" type="noConversion"/>
  </si>
  <si>
    <t>오픈 연기</t>
    <phoneticPr fontId="3" type="noConversion"/>
  </si>
  <si>
    <t>영업유형</t>
    <phoneticPr fontId="3" type="noConversion"/>
  </si>
  <si>
    <t>인당 일 11,000원 (월 1,500만)</t>
    <phoneticPr fontId="3" type="noConversion"/>
  </si>
  <si>
    <t>한희진</t>
    <phoneticPr fontId="3" type="noConversion"/>
  </si>
  <si>
    <t>hhj@labgenomics.com</t>
    <phoneticPr fontId="3" type="noConversion"/>
  </si>
  <si>
    <t>010-7426-7766</t>
    <phoneticPr fontId="3" type="noConversion"/>
  </si>
  <si>
    <t>010-7751-2436</t>
    <phoneticPr fontId="3" type="noConversion"/>
  </si>
  <si>
    <t>워커스하이, 가온에프앤에스 B2B 계약 및 연동개발 필요</t>
    <phoneticPr fontId="3" type="noConversion"/>
  </si>
  <si>
    <t>임예지</t>
    <phoneticPr fontId="3" type="noConversion"/>
  </si>
  <si>
    <t>yj.lim@violmedical.com</t>
    <phoneticPr fontId="3" type="noConversion"/>
  </si>
  <si>
    <t>코루파마</t>
    <phoneticPr fontId="3" type="noConversion"/>
  </si>
  <si>
    <t>송예은</t>
    <phoneticPr fontId="3" type="noConversion"/>
  </si>
  <si>
    <t>070-4651-4327</t>
    <phoneticPr fontId="3" type="noConversion"/>
  </si>
  <si>
    <t>대보정보통신</t>
    <phoneticPr fontId="3" type="noConversion"/>
  </si>
  <si>
    <t>식권대장, 비플페이 비딩</t>
    <phoneticPr fontId="3" type="noConversion"/>
  </si>
  <si>
    <t>비올메디컬</t>
    <phoneticPr fontId="3" type="noConversion"/>
  </si>
  <si>
    <t>인당 연 400만원 (연 1억 6천만)</t>
    <phoneticPr fontId="3" type="noConversion"/>
  </si>
  <si>
    <t>010-4915-0895 </t>
    <phoneticPr fontId="3" type="noConversion"/>
  </si>
  <si>
    <t>조용덕 </t>
    <phoneticPr fontId="3" type="noConversion"/>
  </si>
  <si>
    <t>010-6424-5618</t>
    <phoneticPr fontId="3" type="noConversion"/>
  </si>
  <si>
    <t>jyd15374@dbcs.co.kr</t>
    <phoneticPr fontId="3" type="noConversion"/>
  </si>
  <si>
    <t>minji.kim@gshydro.com</t>
    <phoneticPr fontId="3" type="noConversion"/>
  </si>
  <si>
    <t>인당 일 7천원 (월 280만)</t>
    <phoneticPr fontId="3" type="noConversion"/>
  </si>
  <si>
    <t>맹찬영</t>
    <phoneticPr fontId="3" type="noConversion"/>
  </si>
  <si>
    <t>cy_chan@modogrove.com</t>
    <phoneticPr fontId="3" type="noConversion"/>
  </si>
  <si>
    <t>상아정공</t>
    <phoneticPr fontId="3" type="noConversion"/>
  </si>
  <si>
    <t>함안</t>
    <phoneticPr fontId="3" type="noConversion"/>
  </si>
  <si>
    <t>010-4195-0941</t>
    <phoneticPr fontId="3" type="noConversion"/>
  </si>
  <si>
    <t>이슬이</t>
    <phoneticPr fontId="3" type="noConversion"/>
  </si>
  <si>
    <t>slks7714@naver.com</t>
    <phoneticPr fontId="3" type="noConversion"/>
  </si>
  <si>
    <t>010-2583-0060</t>
    <phoneticPr fontId="3" type="noConversion"/>
  </si>
  <si>
    <t>인당 연 200만원 (월 500만)</t>
    <phoneticPr fontId="3" type="noConversion"/>
  </si>
  <si>
    <t>함께하는우리</t>
    <phoneticPr fontId="3" type="noConversion"/>
  </si>
  <si>
    <t>캐치잇잉글리시</t>
    <phoneticPr fontId="3" type="noConversion"/>
  </si>
  <si>
    <t>재택근무 식권 1만원 지급 (월 50만)</t>
    <phoneticPr fontId="3" type="noConversion"/>
  </si>
  <si>
    <t>식권대장 비딩</t>
    <phoneticPr fontId="3" type="noConversion"/>
  </si>
  <si>
    <t>부루벨코리아(주)</t>
    <phoneticPr fontId="3" type="noConversion"/>
  </si>
  <si>
    <t>인당 월 15만원 (월 225만)</t>
    <phoneticPr fontId="3" type="noConversion"/>
  </si>
  <si>
    <t>wlghkswkd1449@naver.com</t>
  </si>
  <si>
    <t>inhyang.lim@endoquestrobotics.com</t>
  </si>
  <si>
    <t>(주)여행의 시작</t>
    <phoneticPr fontId="3" type="noConversion"/>
  </si>
  <si>
    <t>엔도퀘스트로보틱스코리아 </t>
    <phoneticPr fontId="3" type="noConversion"/>
  </si>
  <si>
    <t>박명안</t>
    <phoneticPr fontId="3" type="noConversion"/>
  </si>
  <si>
    <t>류지연</t>
    <phoneticPr fontId="3" type="noConversion"/>
  </si>
  <si>
    <t>박지환</t>
    <phoneticPr fontId="3" type="noConversion"/>
  </si>
  <si>
    <t>임인향</t>
    <phoneticPr fontId="3" type="noConversion"/>
  </si>
  <si>
    <t>에스아이시</t>
    <phoneticPr fontId="3" type="noConversion"/>
  </si>
  <si>
    <t>line1779@naver.com</t>
  </si>
  <si>
    <t>경주</t>
    <phoneticPr fontId="3" type="noConversion"/>
  </si>
  <si>
    <t>연장수당 및 유루비 복지포인트 전환 (월 500~600만)</t>
    <phoneticPr fontId="3" type="noConversion"/>
  </si>
  <si>
    <t>한양대 구리병원</t>
    <phoneticPr fontId="3" type="noConversion"/>
  </si>
  <si>
    <t>야식권 5천원 도입 (월 1,200만)</t>
    <phoneticPr fontId="3" type="noConversion"/>
  </si>
  <si>
    <t>홍대영 </t>
    <phoneticPr fontId="3" type="noConversion"/>
  </si>
  <si>
    <t>2117331@hyumc.com</t>
    <phoneticPr fontId="3" type="noConversion"/>
  </si>
  <si>
    <t>031-560-2611</t>
    <phoneticPr fontId="3" type="noConversion"/>
  </si>
  <si>
    <t>hmkim@cytur.net</t>
  </si>
  <si>
    <t>야근식대 일 12,000원 (월 100만)</t>
    <phoneticPr fontId="3" type="noConversion"/>
  </si>
  <si>
    <t>인당 일 1만원 (월 100만)</t>
    <phoneticPr fontId="3" type="noConversion"/>
  </si>
  <si>
    <t>신승훈</t>
    <phoneticPr fontId="3" type="noConversion"/>
  </si>
  <si>
    <t>sh.shin@index-robotics.com</t>
    <phoneticPr fontId="3" type="noConversion"/>
  </si>
  <si>
    <t>010-9432-9138 </t>
    <phoneticPr fontId="3" type="noConversion"/>
  </si>
  <si>
    <t>싸이터</t>
    <phoneticPr fontId="3" type="noConversion"/>
  </si>
  <si>
    <t>070-7462-9560</t>
  </si>
  <si>
    <t>yoonsoojung@valofe.com</t>
  </si>
  <si>
    <t>밸로프</t>
    <phoneticPr fontId="3" type="noConversion"/>
  </si>
  <si>
    <t>대한안전교육협회</t>
    <phoneticPr fontId="3" type="noConversion"/>
  </si>
  <si>
    <t>safetydir@safetykorea.or.kr</t>
    <phoneticPr fontId="3" type="noConversion"/>
  </si>
  <si>
    <t>최현호 </t>
    <phoneticPr fontId="3" type="noConversion"/>
  </si>
  <si>
    <t xml:space="preserve">디에이치엑스컴퍼니 </t>
    <phoneticPr fontId="3" type="noConversion"/>
  </si>
  <si>
    <t>임시국</t>
    <phoneticPr fontId="3" type="noConversion"/>
  </si>
  <si>
    <t>010-9276-8708</t>
    <phoneticPr fontId="3" type="noConversion"/>
  </si>
  <si>
    <t>윤수정</t>
    <phoneticPr fontId="3" type="noConversion"/>
  </si>
  <si>
    <t>김보라</t>
    <phoneticPr fontId="3" type="noConversion"/>
  </si>
  <si>
    <t>김희망</t>
    <phoneticPr fontId="3" type="noConversion"/>
  </si>
  <si>
    <t>sglim@dhxcompany.com</t>
    <phoneticPr fontId="3" type="noConversion"/>
  </si>
  <si>
    <t>인당 일 11,000원 (월 400만)</t>
    <phoneticPr fontId="3" type="noConversion"/>
  </si>
  <si>
    <t>동주랩</t>
    <phoneticPr fontId="3" type="noConversion"/>
  </si>
  <si>
    <t>인당 연 70만 (연 2,100만)</t>
    <phoneticPr fontId="3" type="noConversion"/>
  </si>
  <si>
    <t xml:space="preserve">지민경 </t>
    <phoneticPr fontId="3" type="noConversion"/>
  </si>
  <si>
    <t>jhl604@naver.com</t>
    <phoneticPr fontId="3" type="noConversion"/>
  </si>
  <si>
    <t>이데미쯔전자재료한국</t>
    <phoneticPr fontId="3" type="noConversion"/>
  </si>
  <si>
    <t>파주</t>
    <phoneticPr fontId="3" type="noConversion"/>
  </si>
  <si>
    <t>하승호</t>
    <phoneticPr fontId="3" type="noConversion"/>
  </si>
  <si>
    <t>031-839-5569</t>
    <phoneticPr fontId="3" type="noConversion"/>
  </si>
  <si>
    <t>seungho.ha.1140@idemitsu.com</t>
    <phoneticPr fontId="3" type="noConversion"/>
  </si>
  <si>
    <t>이맥스</t>
    <phoneticPr fontId="3" type="noConversion"/>
  </si>
  <si>
    <t>khr@e-max.kr</t>
    <phoneticPr fontId="3" type="noConversion"/>
  </si>
  <si>
    <t>김혜림</t>
    <phoneticPr fontId="3" type="noConversion"/>
  </si>
  <si>
    <t>인당 월 16만원 (월 100만)</t>
    <phoneticPr fontId="3" type="noConversion"/>
  </si>
  <si>
    <t>브라이틀링코리아</t>
    <phoneticPr fontId="3" type="noConversion"/>
  </si>
  <si>
    <t>최자경</t>
    <phoneticPr fontId="3" type="noConversion"/>
  </si>
  <si>
    <t>jakyung.choi@breitling.com</t>
    <phoneticPr fontId="3" type="noConversion"/>
  </si>
  <si>
    <t>인당 월 10만원 (월 40만)</t>
    <phoneticPr fontId="3" type="noConversion"/>
  </si>
  <si>
    <t>마마스푸드</t>
    <phoneticPr fontId="3" type="noConversion"/>
  </si>
  <si>
    <t>인당 월 10만원 (월 300만)</t>
    <phoneticPr fontId="3" type="noConversion"/>
  </si>
  <si>
    <t>dohee.kwon@mamasfood.co.kr</t>
    <phoneticPr fontId="3" type="noConversion"/>
  </si>
  <si>
    <t>태주시스템</t>
    <phoneticPr fontId="3" type="noConversion"/>
  </si>
  <si>
    <t>인당 연 100만원 (연 1,300만)</t>
    <phoneticPr fontId="3" type="noConversion"/>
  </si>
  <si>
    <t>안준홍</t>
    <phoneticPr fontId="3" type="noConversion"/>
  </si>
  <si>
    <t>jh.an@taejusystem.com</t>
    <phoneticPr fontId="3" type="noConversion"/>
  </si>
  <si>
    <t>리센스메디컬</t>
    <phoneticPr fontId="3" type="noConversion"/>
  </si>
  <si>
    <t>인당 월 3만원 (월 180만)</t>
    <phoneticPr fontId="3" type="noConversion"/>
  </si>
  <si>
    <t>이학수</t>
    <phoneticPr fontId="3" type="noConversion"/>
  </si>
  <si>
    <t>lhs358@recensmedical.com</t>
    <phoneticPr fontId="3" type="noConversion"/>
  </si>
  <si>
    <t>ENF테크놀로지</t>
    <phoneticPr fontId="3" type="noConversion"/>
  </si>
  <si>
    <t>상세 정책 미정, 검토 홀딩</t>
    <phoneticPr fontId="3" type="noConversion"/>
  </si>
  <si>
    <t xml:space="preserve">신승권 </t>
    <phoneticPr fontId="3" type="noConversion"/>
  </si>
  <si>
    <t>031-5383732</t>
    <phoneticPr fontId="3" type="noConversion"/>
  </si>
  <si>
    <t>에스티엘 스타트투데이</t>
    <phoneticPr fontId="3" type="noConversion"/>
  </si>
  <si>
    <t>일 7,700원 (월 460만), 머큐어호텔 구내식당 이용</t>
    <phoneticPr fontId="3" type="noConversion"/>
  </si>
  <si>
    <t>김은지</t>
    <phoneticPr fontId="3" type="noConversion"/>
  </si>
  <si>
    <t>010-4525-9503</t>
    <phoneticPr fontId="3" type="noConversion"/>
  </si>
  <si>
    <t>euunjii@sttd.co.kr</t>
    <phoneticPr fontId="3" type="noConversion"/>
  </si>
  <si>
    <t>분당삼성정형외과의원</t>
    <phoneticPr fontId="3" type="noConversion"/>
  </si>
  <si>
    <t>조창민</t>
    <phoneticPr fontId="3" type="noConversion"/>
  </si>
  <si>
    <t>인당 월 20만원 (월 300만)</t>
    <phoneticPr fontId="3" type="noConversion"/>
  </si>
  <si>
    <t>chkw76@naver.com</t>
    <phoneticPr fontId="3" type="noConversion"/>
  </si>
  <si>
    <t>에스투더블유</t>
    <phoneticPr fontId="3" type="noConversion"/>
  </si>
  <si>
    <t>중식 50명 &amp; 석식 30명, 각 일 17,000원 (월 2,700만)</t>
    <phoneticPr fontId="3" type="noConversion"/>
  </si>
  <si>
    <t>박새미</t>
    <phoneticPr fontId="3" type="noConversion"/>
  </si>
  <si>
    <t>psmily@s2w.inc</t>
    <phoneticPr fontId="3" type="noConversion"/>
  </si>
  <si>
    <t xml:space="preserve">디오셈 </t>
    <phoneticPr fontId="3" type="noConversion"/>
  </si>
  <si>
    <t xml:space="preserve">라은미         </t>
    <phoneticPr fontId="3" type="noConversion"/>
  </si>
  <si>
    <t>010-2056-1477</t>
    <phoneticPr fontId="3" type="noConversion"/>
  </si>
  <si>
    <t>포레스트힐스랩코리아</t>
    <phoneticPr fontId="3" type="noConversion"/>
  </si>
  <si>
    <t xml:space="preserve">일 1`만원, 식권대장 이용 중 (월 500만) </t>
    <phoneticPr fontId="3" type="noConversion"/>
  </si>
  <si>
    <t>김지영</t>
    <phoneticPr fontId="3" type="noConversion"/>
  </si>
  <si>
    <t>jykzzz2@foresthillslabkorea.com</t>
    <phoneticPr fontId="3" type="noConversion"/>
  </si>
  <si>
    <t>이지스헬스케어</t>
    <phoneticPr fontId="3" type="noConversion"/>
  </si>
  <si>
    <t>자이씨앤에이</t>
    <phoneticPr fontId="3" type="noConversion"/>
  </si>
  <si>
    <t>지앤에이 마곡</t>
    <phoneticPr fontId="3" type="noConversion"/>
  </si>
  <si>
    <t>섬에어</t>
    <phoneticPr fontId="3" type="noConversion"/>
  </si>
  <si>
    <t>식신 이용 중, 전환 제안</t>
    <phoneticPr fontId="3" type="noConversion"/>
  </si>
  <si>
    <t>1522-2001</t>
    <phoneticPr fontId="3" type="noConversion"/>
  </si>
  <si>
    <t>02-6924-5927</t>
    <phoneticPr fontId="3" type="noConversion"/>
  </si>
  <si>
    <t>010-8900-1266</t>
    <phoneticPr fontId="3" type="noConversion"/>
  </si>
  <si>
    <t>공대건</t>
    <phoneticPr fontId="3" type="noConversion"/>
  </si>
  <si>
    <t>식대 정책 없음, 도입 검토</t>
    <phoneticPr fontId="3" type="noConversion"/>
  </si>
  <si>
    <t>사내식당 이용 중, 식권 이용계획 없음</t>
    <phoneticPr fontId="3" type="noConversion"/>
  </si>
  <si>
    <t>식대 정책 없음</t>
    <phoneticPr fontId="3" type="noConversion"/>
  </si>
  <si>
    <t>02-6251-1500</t>
    <phoneticPr fontId="3" type="noConversion"/>
  </si>
  <si>
    <t>010-8080-6849</t>
    <phoneticPr fontId="3" type="noConversion"/>
  </si>
  <si>
    <t>최용덕</t>
    <phoneticPr fontId="3" type="noConversion"/>
  </si>
  <si>
    <t>NEWCUREM</t>
  </si>
  <si>
    <t>MODOGROVE</t>
  </si>
  <si>
    <t>KBFSPORTS</t>
  </si>
  <si>
    <t>PROSPORTS</t>
  </si>
  <si>
    <t>INDEXROBO</t>
  </si>
  <si>
    <t>의원</t>
    <phoneticPr fontId="3" type="noConversion"/>
  </si>
  <si>
    <t>KAL</t>
    <phoneticPr fontId="3" type="noConversion"/>
  </si>
  <si>
    <t>분당삼성정형외과</t>
    <phoneticPr fontId="3" type="noConversion"/>
  </si>
  <si>
    <t>에스티엘</t>
    <phoneticPr fontId="3" type="noConversion"/>
  </si>
  <si>
    <t>한진정보통신</t>
    <phoneticPr fontId="3" type="noConversion"/>
  </si>
  <si>
    <t>경기 분당구</t>
    <phoneticPr fontId="3" type="noConversion"/>
  </si>
  <si>
    <t>STL</t>
    <phoneticPr fontId="3" type="noConversion"/>
  </si>
  <si>
    <t>화물운송 중개, 대리업</t>
    <phoneticPr fontId="3" type="noConversion"/>
  </si>
  <si>
    <t>BREITLING</t>
    <phoneticPr fontId="3" type="noConversion"/>
  </si>
  <si>
    <t>시계 및 귀금속 도매업</t>
    <phoneticPr fontId="3" type="noConversion"/>
  </si>
  <si>
    <t>TIMBERLINE</t>
    <phoneticPr fontId="3" type="noConversion"/>
  </si>
  <si>
    <t>BSO</t>
    <phoneticPr fontId="3" type="noConversion"/>
  </si>
  <si>
    <t>경기 분당</t>
    <phoneticPr fontId="3" type="noConversion"/>
  </si>
  <si>
    <t>한국지엠피교육센터</t>
    <phoneticPr fontId="3" type="noConversion"/>
  </si>
  <si>
    <t>GMPEDU</t>
    <phoneticPr fontId="3" type="noConversion"/>
  </si>
  <si>
    <t>교육기관</t>
    <phoneticPr fontId="3" type="noConversion"/>
  </si>
  <si>
    <t>CATCHIT</t>
    <phoneticPr fontId="3" type="noConversion"/>
  </si>
  <si>
    <t>소프트웨어 개발,공급업</t>
    <phoneticPr fontId="3" type="noConversion"/>
  </si>
  <si>
    <t>매출이익 (53%)</t>
    <phoneticPr fontId="3" type="noConversion"/>
  </si>
  <si>
    <t>매출이익 달성률</t>
    <phoneticPr fontId="3" type="noConversion"/>
  </si>
  <si>
    <t>매출이익</t>
    <phoneticPr fontId="3" type="noConversion"/>
  </si>
  <si>
    <t>매출원가</t>
    <phoneticPr fontId="3" type="noConversion"/>
  </si>
  <si>
    <t>LABG</t>
    <phoneticPr fontId="3" type="noConversion"/>
  </si>
  <si>
    <t>VETCHING</t>
    <phoneticPr fontId="3" type="noConversion"/>
  </si>
  <si>
    <t>브레이브컴퍼니</t>
    <phoneticPr fontId="3" type="noConversion"/>
  </si>
  <si>
    <t>BRAVE</t>
    <phoneticPr fontId="3" type="noConversion"/>
  </si>
  <si>
    <t>오리지널아카이브</t>
    <phoneticPr fontId="3" type="noConversion"/>
  </si>
  <si>
    <t>ORIGINALAC</t>
    <phoneticPr fontId="3" type="noConversion"/>
  </si>
  <si>
    <t>행복우산</t>
    <phoneticPr fontId="3" type="noConversion"/>
  </si>
  <si>
    <t>HAPPYWORK</t>
    <phoneticPr fontId="3" type="noConversion"/>
  </si>
  <si>
    <t>GNFC</t>
    <phoneticPr fontId="3" type="noConversion"/>
  </si>
  <si>
    <t>스포츠클럽운영업</t>
    <phoneticPr fontId="3" type="noConversion"/>
  </si>
  <si>
    <t>에어로케이항공</t>
    <phoneticPr fontId="3" type="noConversion"/>
  </si>
  <si>
    <t>엑스퍼트컨설팅_코지모임2호</t>
    <phoneticPr fontId="3" type="noConversion"/>
  </si>
  <si>
    <t> 02-2161-2025</t>
    <phoneticPr fontId="3" type="noConversion"/>
  </si>
  <si>
    <t>jackie@catchitplay.com</t>
    <phoneticPr fontId="3" type="noConversion"/>
  </si>
  <si>
    <t>식권대장 전환 검토, 공항 사용이 핵심</t>
    <phoneticPr fontId="3" type="noConversion"/>
  </si>
  <si>
    <t>권도희</t>
    <phoneticPr fontId="3" type="noConversion"/>
  </si>
  <si>
    <t>인당 연 180만 (연 720만)</t>
    <phoneticPr fontId="3" type="noConversion"/>
  </si>
  <si>
    <t>윤기호</t>
    <phoneticPr fontId="3" type="noConversion"/>
  </si>
  <si>
    <t>gmpedu@gmpedu.co.kr</t>
    <phoneticPr fontId="3" type="noConversion"/>
  </si>
  <si>
    <t>유비파이</t>
    <phoneticPr fontId="3" type="noConversion"/>
  </si>
  <si>
    <t>인당 월 20만 (월 1천만)</t>
    <phoneticPr fontId="3" type="noConversion"/>
  </si>
  <si>
    <t>채유희</t>
    <phoneticPr fontId="3" type="noConversion"/>
  </si>
  <si>
    <t>youhee.chae@uvify.com</t>
    <phoneticPr fontId="3" type="noConversion"/>
  </si>
  <si>
    <t>와이지플러스</t>
    <phoneticPr fontId="3" type="noConversion"/>
  </si>
  <si>
    <t>jiyoung@ygmail.net</t>
    <phoneticPr fontId="3" type="noConversion"/>
  </si>
  <si>
    <t>인당 월 5~10만원 (월 50~100만)</t>
    <phoneticPr fontId="3" type="noConversion"/>
  </si>
  <si>
    <t xml:space="preserve">이하연 </t>
    <phoneticPr fontId="3" type="noConversion"/>
  </si>
  <si>
    <t>010-4170-7266</t>
    <phoneticPr fontId="3" type="noConversion"/>
  </si>
  <si>
    <t>kendall@bravecompany.kr</t>
    <phoneticPr fontId="3" type="noConversion"/>
  </si>
  <si>
    <t>엠엔제이</t>
    <phoneticPr fontId="3" type="noConversion"/>
  </si>
  <si>
    <t>음성</t>
    <phoneticPr fontId="3" type="noConversion"/>
  </si>
  <si>
    <t>최수진</t>
    <phoneticPr fontId="3" type="noConversion"/>
  </si>
  <si>
    <t>mnjcorp2024@outlook.com</t>
    <phoneticPr fontId="3" type="noConversion"/>
  </si>
  <si>
    <t>연 20만원 (연 100만)</t>
    <phoneticPr fontId="3" type="noConversion"/>
  </si>
  <si>
    <t>차세연</t>
    <phoneticPr fontId="3" type="noConversion"/>
  </si>
  <si>
    <t>happywork7@hanmail.net</t>
    <phoneticPr fontId="3" type="noConversion"/>
  </si>
  <si>
    <t>에스코어</t>
    <phoneticPr fontId="3" type="noConversion"/>
  </si>
  <si>
    <t>서울,경기</t>
    <phoneticPr fontId="3" type="noConversion"/>
  </si>
  <si>
    <t>곽혜진</t>
    <phoneticPr fontId="3" type="noConversion"/>
  </si>
  <si>
    <t>02-6411-4054</t>
    <phoneticPr fontId="3" type="noConversion"/>
  </si>
  <si>
    <t>hyejine.gwak@samsung.com</t>
    <phoneticPr fontId="3" type="noConversion"/>
  </si>
  <si>
    <t>쏘카</t>
    <phoneticPr fontId="3" type="noConversion"/>
  </si>
  <si>
    <t>장은진</t>
    <phoneticPr fontId="3" type="noConversion"/>
  </si>
  <si>
    <t>jamong@socar.kr</t>
    <phoneticPr fontId="3" type="noConversion"/>
  </si>
  <si>
    <t>지이에이코리아</t>
    <phoneticPr fontId="3" type="noConversion"/>
  </si>
  <si>
    <t>예지연</t>
    <phoneticPr fontId="3" type="noConversion"/>
  </si>
  <si>
    <t>010-6474-2364</t>
    <phoneticPr fontId="3" type="noConversion"/>
  </si>
  <si>
    <t>jiyeon.ye@gea.com</t>
    <phoneticPr fontId="3" type="noConversion"/>
  </si>
  <si>
    <t xml:space="preserve">아스렉스코리아 </t>
    <phoneticPr fontId="3" type="noConversion"/>
  </si>
  <si>
    <t>김연</t>
    <phoneticPr fontId="3" type="noConversion"/>
  </si>
  <si>
    <t>010-7439-0324</t>
    <phoneticPr fontId="3" type="noConversion"/>
  </si>
  <si>
    <t>youn.kim@arthrex.kr</t>
    <phoneticPr fontId="3" type="noConversion"/>
  </si>
  <si>
    <t>코리아이플랫폼</t>
    <phoneticPr fontId="3" type="noConversion"/>
  </si>
  <si>
    <t>손병현</t>
    <phoneticPr fontId="3" type="noConversion"/>
  </si>
  <si>
    <t>010-6877-9560</t>
    <phoneticPr fontId="3" type="noConversion"/>
  </si>
  <si>
    <t>weighty79@koreab2b.com</t>
    <phoneticPr fontId="3" type="noConversion"/>
  </si>
  <si>
    <t>EXC1</t>
    <phoneticPr fontId="3" type="noConversion"/>
  </si>
  <si>
    <t>HIPK2</t>
    <phoneticPr fontId="3" type="noConversion"/>
  </si>
  <si>
    <t>AEROK</t>
    <phoneticPr fontId="3" type="noConversion"/>
  </si>
  <si>
    <t>항공사</t>
    <phoneticPr fontId="3" type="noConversion"/>
  </si>
  <si>
    <t>삼구아이앤씨_대한항공2차검색</t>
    <phoneticPr fontId="3" type="noConversion"/>
  </si>
  <si>
    <t>SKKE2</t>
    <phoneticPr fontId="3" type="noConversion"/>
  </si>
  <si>
    <t>하이파킹_분당수내</t>
    <phoneticPr fontId="3" type="noConversion"/>
  </si>
  <si>
    <t>주차</t>
    <phoneticPr fontId="3" type="noConversion"/>
  </si>
  <si>
    <t>엑스퍼트컨설팅_서울글로벌센터</t>
    <phoneticPr fontId="3" type="noConversion"/>
  </si>
  <si>
    <t>EXC3</t>
    <phoneticPr fontId="3" type="noConversion"/>
  </si>
  <si>
    <t>HIST</t>
    <phoneticPr fontId="3" type="noConversion"/>
  </si>
  <si>
    <t>JAS_항공사 밀쿠폰(10개 항공사)</t>
    <phoneticPr fontId="3" type="noConversion"/>
  </si>
  <si>
    <t>버진애틀란틱항공</t>
    <phoneticPr fontId="3" type="noConversion"/>
  </si>
  <si>
    <t>MVVS</t>
    <phoneticPr fontId="3" type="noConversion"/>
  </si>
  <si>
    <t>롯데인천공항면세점</t>
    <phoneticPr fontId="3" type="noConversion"/>
  </si>
  <si>
    <t>LOTTEICN</t>
    <phoneticPr fontId="3" type="noConversion"/>
  </si>
  <si>
    <t>캐치잇플레이</t>
    <phoneticPr fontId="3" type="noConversion"/>
  </si>
  <si>
    <t>일 7,700원</t>
    <phoneticPr fontId="3" type="noConversion"/>
  </si>
  <si>
    <t>연 1,800,000원</t>
    <phoneticPr fontId="3" type="noConversion"/>
  </si>
  <si>
    <t>연 400,000원</t>
    <phoneticPr fontId="3" type="noConversion"/>
  </si>
  <si>
    <t>일 6,000원</t>
    <phoneticPr fontId="3" type="noConversion"/>
  </si>
  <si>
    <t>RECENSMEDI</t>
    <phoneticPr fontId="3" type="noConversion"/>
  </si>
  <si>
    <t>치료기기제조</t>
    <phoneticPr fontId="3" type="noConversion"/>
  </si>
  <si>
    <t>경기 화성</t>
    <phoneticPr fontId="3" type="noConversion"/>
  </si>
  <si>
    <t>월 30,000원</t>
    <phoneticPr fontId="3" type="noConversion"/>
  </si>
  <si>
    <t>마지막 업데이트</t>
    <phoneticPr fontId="3" type="noConversion"/>
  </si>
  <si>
    <t>스킨푸드</t>
    <phoneticPr fontId="3" type="noConversion"/>
  </si>
  <si>
    <t>예원노무법인 인입</t>
    <phoneticPr fontId="3" type="noConversion"/>
  </si>
  <si>
    <t>구다이글로벌 계열사</t>
    <phoneticPr fontId="3" type="noConversion"/>
  </si>
  <si>
    <t>날개물류</t>
    <phoneticPr fontId="3" type="noConversion"/>
  </si>
  <si>
    <t>오픈확정, 4월 3주 미팅예정</t>
    <phoneticPr fontId="3" type="noConversion"/>
  </si>
  <si>
    <t>드림날개 계열사</t>
    <phoneticPr fontId="3" type="noConversion"/>
  </si>
  <si>
    <t>구다이글로벌</t>
    <phoneticPr fontId="3" type="noConversion"/>
  </si>
  <si>
    <t>스마트웰 이용 중, 전환 검토</t>
    <phoneticPr fontId="3" type="noConversion"/>
  </si>
  <si>
    <t>이선영</t>
    <phoneticPr fontId="3" type="noConversion"/>
  </si>
  <si>
    <t>010-8749-5436</t>
    <phoneticPr fontId="3" type="noConversion"/>
  </si>
  <si>
    <t>sunyounglee@goodai-global.com</t>
    <phoneticPr fontId="3" type="noConversion"/>
  </si>
  <si>
    <t>본사 포함 계열법인 순차 전환 검토</t>
    <phoneticPr fontId="3" type="noConversion"/>
  </si>
  <si>
    <t>바바리안모터스</t>
    <phoneticPr fontId="3" type="noConversion"/>
  </si>
  <si>
    <t>검토 보류 중, 재검토 시 F/U</t>
    <phoneticPr fontId="3" type="noConversion"/>
  </si>
  <si>
    <t>최윤선</t>
    <phoneticPr fontId="3" type="noConversion"/>
  </si>
  <si>
    <t>010-3309-5669</t>
    <phoneticPr fontId="3" type="noConversion"/>
  </si>
  <si>
    <t>yunsun.choi@bavarian.co.kr</t>
    <phoneticPr fontId="3" type="noConversion"/>
  </si>
  <si>
    <t>복지몰 &amp; 건강검진 제휴할인 필수</t>
    <phoneticPr fontId="3" type="noConversion"/>
  </si>
  <si>
    <t>신규컨택 및 제안</t>
    <phoneticPr fontId="3" type="noConversion"/>
  </si>
  <si>
    <t>라라잡</t>
    <phoneticPr fontId="3" type="noConversion"/>
  </si>
  <si>
    <t>070-8870-2000</t>
    <phoneticPr fontId="3" type="noConversion"/>
  </si>
  <si>
    <t>help@rarajob.com</t>
    <phoneticPr fontId="3" type="noConversion"/>
  </si>
  <si>
    <t>사람인 계열사</t>
    <phoneticPr fontId="3" type="noConversion"/>
  </si>
  <si>
    <t>미팅완료, 2분기 오픈 목표 (연 20~40만)</t>
    <phoneticPr fontId="3" type="noConversion"/>
  </si>
  <si>
    <t>010-2612-1413</t>
    <phoneticPr fontId="3" type="noConversion"/>
  </si>
  <si>
    <t>admin2@korupharma.com</t>
    <phoneticPr fontId="3" type="noConversion"/>
  </si>
  <si>
    <t>인사쟁이 컨택</t>
    <phoneticPr fontId="3" type="noConversion"/>
  </si>
  <si>
    <t>info@eghishc.com</t>
    <phoneticPr fontId="3" type="noConversion"/>
  </si>
  <si>
    <t>02-6924-5800</t>
    <phoneticPr fontId="3" type="noConversion"/>
  </si>
  <si>
    <t>자이에스앤디 계열사, 동시영업 추진</t>
    <phoneticPr fontId="3" type="noConversion"/>
  </si>
  <si>
    <t>에스앤아이코퍼레이션</t>
    <phoneticPr fontId="3" type="noConversion"/>
  </si>
  <si>
    <t>02-6924-5302</t>
    <phoneticPr fontId="3" type="noConversion"/>
  </si>
  <si>
    <t>skalscjfl@sni.co.kr</t>
    <phoneticPr fontId="3" type="noConversion"/>
  </si>
  <si>
    <t>정인성</t>
    <phoneticPr fontId="3" type="noConversion"/>
  </si>
  <si>
    <t>010-6230-1580</t>
    <phoneticPr fontId="3" type="noConversion"/>
  </si>
  <si>
    <t>씨앤알</t>
    <phoneticPr fontId="3" type="noConversion"/>
  </si>
  <si>
    <t>02-586-0014</t>
    <phoneticPr fontId="3" type="noConversion"/>
  </si>
  <si>
    <t>1644-5641</t>
    <phoneticPr fontId="3" type="noConversion"/>
  </si>
  <si>
    <t>플래그원</t>
    <phoneticPr fontId="3" type="noConversion"/>
  </si>
  <si>
    <t>이지원</t>
    <phoneticPr fontId="3" type="noConversion"/>
  </si>
  <si>
    <t>010-2036-2952</t>
    <phoneticPr fontId="3" type="noConversion"/>
  </si>
  <si>
    <t>jwonj@dnocorp.com</t>
    <phoneticPr fontId="3" type="noConversion"/>
  </si>
  <si>
    <t>25.7.1 제휴문의 인입</t>
    <phoneticPr fontId="3" type="noConversion"/>
  </si>
  <si>
    <t>JK금융파트너스</t>
    <phoneticPr fontId="3" type="noConversion"/>
  </si>
  <si>
    <t>02-782-8781</t>
    <phoneticPr fontId="3" type="noConversion"/>
  </si>
  <si>
    <t>지앤비시스템</t>
    <phoneticPr fontId="3" type="noConversion"/>
  </si>
  <si>
    <t>박세훈</t>
    <phoneticPr fontId="3" type="noConversion"/>
  </si>
  <si>
    <t>010-5508-8470</t>
    <phoneticPr fontId="3" type="noConversion"/>
  </si>
  <si>
    <t>삼구아이앤씨 계열사</t>
    <phoneticPr fontId="3" type="noConversion"/>
  </si>
  <si>
    <t>서린컴퍼니</t>
    <phoneticPr fontId="3" type="noConversion"/>
  </si>
  <si>
    <t>강원 춘천</t>
    <phoneticPr fontId="3" type="noConversion"/>
  </si>
  <si>
    <t>미컨택</t>
    <phoneticPr fontId="3" type="noConversion"/>
  </si>
  <si>
    <t>구다이글로벌 타겟영업</t>
    <phoneticPr fontId="3" type="noConversion"/>
  </si>
  <si>
    <r>
      <rPr>
        <sz val="9"/>
        <rFont val="Noto Sans CJK SC"/>
        <family val="2"/>
      </rPr>
      <t xml:space="preserve">한국건강관리협회 </t>
    </r>
    <r>
      <rPr>
        <sz val="9"/>
        <rFont val="Arial"/>
        <family val="2"/>
      </rPr>
      <t>(</t>
    </r>
    <r>
      <rPr>
        <sz val="9"/>
        <rFont val="Noto Sans CJK SC"/>
        <family val="2"/>
      </rPr>
      <t>메디체크</t>
    </r>
    <r>
      <rPr>
        <sz val="9"/>
        <rFont val="Arial"/>
        <family val="2"/>
      </rPr>
      <t>)</t>
    </r>
    <phoneticPr fontId="3" type="noConversion"/>
  </si>
  <si>
    <t>식권(발송형)</t>
    <phoneticPr fontId="3" type="noConversion"/>
  </si>
  <si>
    <t>건강검진 지류식권 전환영업 추진에정</t>
    <phoneticPr fontId="3" type="noConversion"/>
  </si>
  <si>
    <t>모바일 식권 배포 중</t>
    <phoneticPr fontId="3" type="noConversion"/>
  </si>
  <si>
    <r>
      <rPr>
        <sz val="9"/>
        <rFont val="Arial"/>
        <family val="2"/>
      </rPr>
      <t xml:space="preserve">KMI </t>
    </r>
    <r>
      <rPr>
        <sz val="9"/>
        <rFont val="Noto Sans CJK SC"/>
        <family val="2"/>
      </rPr>
      <t>한국의학연구소</t>
    </r>
    <phoneticPr fontId="3" type="noConversion"/>
  </si>
  <si>
    <t>하나로의료재단</t>
    <phoneticPr fontId="3" type="noConversion"/>
  </si>
  <si>
    <t>서울</t>
    <phoneticPr fontId="3" type="noConversion"/>
  </si>
  <si>
    <t>본죽 모바일 쿠폰 배포 중</t>
    <phoneticPr fontId="3" type="noConversion"/>
  </si>
  <si>
    <t>강북삼성병원 건강검진센터</t>
    <phoneticPr fontId="3" type="noConversion"/>
  </si>
  <si>
    <r>
      <rPr>
        <sz val="9"/>
        <color rgb="FF000000"/>
        <rFont val="Noto Sans CJK SC"/>
        <family val="2"/>
      </rPr>
      <t>서울</t>
    </r>
    <r>
      <rPr>
        <sz val="9"/>
        <color rgb="FF000000"/>
        <rFont val="Arial"/>
        <family val="2"/>
      </rPr>
      <t>·</t>
    </r>
    <r>
      <rPr>
        <sz val="9"/>
        <color rgb="FF000000"/>
        <rFont val="Noto Sans CJK SC"/>
        <family val="2"/>
      </rPr>
      <t>수원</t>
    </r>
    <phoneticPr fontId="3" type="noConversion"/>
  </si>
  <si>
    <t>서울아산병원 건강증진센터</t>
    <phoneticPr fontId="3" type="noConversion"/>
  </si>
  <si>
    <t>세브란스 체크업</t>
    <phoneticPr fontId="3" type="noConversion"/>
  </si>
  <si>
    <t>삼성서울병원 건강의학센터</t>
    <phoneticPr fontId="3" type="noConversion"/>
  </si>
  <si>
    <t>서울대병원 건강증진센터</t>
    <phoneticPr fontId="3" type="noConversion"/>
  </si>
  <si>
    <r>
      <rPr>
        <sz val="9"/>
        <rFont val="Arial"/>
        <family val="2"/>
      </rPr>
      <t>GC</t>
    </r>
    <r>
      <rPr>
        <sz val="9"/>
        <rFont val="Noto Sans CJK SC"/>
        <family val="2"/>
      </rPr>
      <t>녹십자아이메드</t>
    </r>
    <phoneticPr fontId="3" type="noConversion"/>
  </si>
  <si>
    <r>
      <rPr>
        <sz val="9"/>
        <rFont val="Noto Sans CJK SC"/>
        <family val="2"/>
      </rPr>
      <t xml:space="preserve">한국의료재단 종합검진센터 </t>
    </r>
    <r>
      <rPr>
        <sz val="9"/>
        <rFont val="Arial"/>
        <family val="2"/>
      </rPr>
      <t>(IFC)</t>
    </r>
    <phoneticPr fontId="3" type="noConversion"/>
  </si>
  <si>
    <t>서울성모병원 건강증진센터</t>
    <phoneticPr fontId="3" type="noConversion"/>
  </si>
  <si>
    <t>인제대 백병원 헬스케어센터</t>
    <phoneticPr fontId="3" type="noConversion"/>
  </si>
  <si>
    <t>차병원 건강증진센터</t>
    <phoneticPr fontId="3" type="noConversion"/>
  </si>
  <si>
    <t>한양대병원 건강검진센터</t>
    <phoneticPr fontId="3" type="noConversion"/>
  </si>
  <si>
    <t>고려대병원 건강증진센터</t>
    <phoneticPr fontId="3" type="noConversion"/>
  </si>
  <si>
    <t>강남세브란스 헬스체크업</t>
    <phoneticPr fontId="3" type="noConversion"/>
  </si>
  <si>
    <t>부산대병원 건강증진센터</t>
    <phoneticPr fontId="3" type="noConversion"/>
  </si>
  <si>
    <t>경희대병원 건강검진센터</t>
    <phoneticPr fontId="3" type="noConversion"/>
  </si>
  <si>
    <t>전남대병원 건강증진센터</t>
    <phoneticPr fontId="3" type="noConversion"/>
  </si>
  <si>
    <t>영남대병원 건강증진센터</t>
    <phoneticPr fontId="3" type="noConversion"/>
  </si>
  <si>
    <t>포포즈반려동물장례식장</t>
    <phoneticPr fontId="3" type="noConversion"/>
  </si>
  <si>
    <t>뮤직카우인베스트</t>
    <phoneticPr fontId="3" type="noConversion"/>
  </si>
  <si>
    <t>부루벨코리아</t>
    <phoneticPr fontId="3" type="noConversion"/>
  </si>
  <si>
    <t>FOURPAWS</t>
    <phoneticPr fontId="3" type="noConversion"/>
  </si>
  <si>
    <t>MUSICOWIV</t>
    <phoneticPr fontId="3" type="noConversion"/>
  </si>
  <si>
    <t>PAYHERE</t>
    <phoneticPr fontId="3" type="noConversion"/>
  </si>
  <si>
    <t>VIOL</t>
    <phoneticPr fontId="3" type="noConversion"/>
  </si>
  <si>
    <t>HYUMCGURI</t>
    <phoneticPr fontId="3" type="noConversion"/>
  </si>
  <si>
    <t>BLUEBELL</t>
    <phoneticPr fontId="3" type="noConversion"/>
  </si>
  <si>
    <t>페이히어_석식신규</t>
    <phoneticPr fontId="3" type="noConversion"/>
  </si>
  <si>
    <t>한양대구리병원</t>
    <phoneticPr fontId="3" type="noConversion"/>
  </si>
  <si>
    <t>트리니티항공_대구</t>
    <phoneticPr fontId="3" type="noConversion"/>
  </si>
  <si>
    <t>MVTWTAE</t>
    <phoneticPr fontId="3" type="noConversion"/>
  </si>
  <si>
    <t>DANBI</t>
    <phoneticPr fontId="3" type="noConversion"/>
  </si>
  <si>
    <t>연거래액</t>
    <phoneticPr fontId="3" type="noConversion"/>
  </si>
  <si>
    <t>기타플라스틱물질제조</t>
    <phoneticPr fontId="3" type="noConversion"/>
  </si>
  <si>
    <t>전남 광양</t>
    <phoneticPr fontId="3" type="noConversion"/>
  </si>
  <si>
    <t>한컴이노스트림</t>
    <phoneticPr fontId="3" type="noConversion"/>
  </si>
  <si>
    <t>HANCOMINS</t>
    <phoneticPr fontId="3" type="noConversion"/>
  </si>
  <si>
    <t>충북 청주시</t>
    <phoneticPr fontId="3" type="noConversion"/>
  </si>
  <si>
    <t>경기 과천시</t>
    <phoneticPr fontId="3" type="noConversion"/>
  </si>
  <si>
    <t>경남 창원시</t>
    <phoneticPr fontId="3" type="noConversion"/>
  </si>
  <si>
    <t>동물장묘업</t>
    <phoneticPr fontId="3" type="noConversion"/>
  </si>
  <si>
    <t>경기 고양시</t>
    <phoneticPr fontId="3" type="noConversion"/>
  </si>
  <si>
    <t xml:space="preserve">일 10,000원 (석식추가) </t>
    <phoneticPr fontId="3" type="noConversion"/>
  </si>
  <si>
    <t>교육생 식권</t>
    <phoneticPr fontId="3" type="noConversion"/>
  </si>
  <si>
    <t>복지정책</t>
    <phoneticPr fontId="3" type="noConversion"/>
  </si>
  <si>
    <t>펌킨네트웍스</t>
    <phoneticPr fontId="3" type="noConversion"/>
  </si>
  <si>
    <t>PUMPKIN</t>
    <phoneticPr fontId="3" type="noConversion"/>
  </si>
  <si>
    <t>일 1만원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</si>
  <si>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도입확정, 5/1 오픈예정</t>
    </r>
    <r>
      <rPr>
        <sz val="9"/>
        <rFont val="맑은 고딕"/>
        <family val="3"/>
        <charset val="129"/>
        <scheme val="minor"/>
      </rPr>
      <t xml:space="preserve"> / 인당 일 1만원 (월 1,200만)</t>
    </r>
    <phoneticPr fontId="3" type="noConversion"/>
  </si>
  <si>
    <t>식권대장 선정 (사유 : 송파 인근 가맹점 부족)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</si>
  <si>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도입확정, 6/1 오픈예정</t>
    </r>
    <r>
      <rPr>
        <sz val="9"/>
        <rFont val="맑은 고딕"/>
        <family val="3"/>
        <charset val="129"/>
        <scheme val="minor"/>
      </rPr>
      <t xml:space="preserve"> / 인당 월 10~15만원 초과근무 식대 지급 (월 8천 ~ 1억)</t>
    </r>
    <phoneticPr fontId="3" type="noConversion"/>
  </si>
  <si>
    <t>jyryu@bluebellgroup.com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</si>
  <si>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도입확정, 7/1 오픈예정</t>
    </r>
    <r>
      <rPr>
        <sz val="9"/>
        <rFont val="맑은 고딕"/>
        <family val="3"/>
        <charset val="129"/>
        <scheme val="minor"/>
      </rPr>
      <t xml:space="preserve"> / 인당 연 20~40만원 (연 3천만)</t>
    </r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</si>
  <si>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내부보고 완료, 의사결정 대기 중</t>
    </r>
    <r>
      <rPr>
        <sz val="9"/>
        <rFont val="맑은 고딕"/>
        <family val="3"/>
        <charset val="129"/>
        <scheme val="minor"/>
      </rPr>
      <t xml:space="preserve"> / 인당 월 8만원 (월 1,300만)</t>
    </r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</si>
  <si>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본사 이전 업무로 검토 지연, 5월 중 재검토 예정</t>
    </r>
    <r>
      <rPr>
        <sz val="9"/>
        <rFont val="맑은 고딕"/>
        <family val="3"/>
        <charset val="129"/>
        <scheme val="minor"/>
      </rPr>
      <t xml:space="preserve"> / 상세 정책 미정</t>
    </r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</si>
  <si>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타 업무로 보고 지연 중</t>
    </r>
    <r>
      <rPr>
        <sz val="9"/>
        <rFont val="맑은 고딕"/>
        <family val="3"/>
        <charset val="129"/>
        <scheme val="minor"/>
      </rPr>
      <t xml:space="preserve"> / 인당 월 10~20만 (월 500~600만)</t>
    </r>
    <phoneticPr fontId="3" type="noConversion"/>
  </si>
  <si>
    <t>타 복지몰 선정 (업체 확인 불가)</t>
    <phoneticPr fontId="3" type="noConversion"/>
  </si>
  <si>
    <t>내부보고 완료, 의사결저 대기 중 (5~6월 내 업체선정 예정)</t>
    <phoneticPr fontId="3" type="noConversion"/>
  </si>
  <si>
    <t>포포즈반려동물장례식장일산점</t>
    <phoneticPr fontId="3" type="noConversion"/>
  </si>
  <si>
    <t>인당 월 5만원 (월 50만)</t>
    <phoneticPr fontId="3" type="noConversion"/>
  </si>
  <si>
    <t>정의세</t>
    <phoneticPr fontId="3" type="noConversion"/>
  </si>
  <si>
    <t xml:space="preserve">us.jeong@petdoc.co.kr	</t>
    <phoneticPr fontId="3" type="noConversion"/>
  </si>
  <si>
    <t>서지안</t>
    <phoneticPr fontId="3" type="noConversion"/>
  </si>
  <si>
    <t>010-9088-5030</t>
    <phoneticPr fontId="3" type="noConversion"/>
  </si>
  <si>
    <t>metjsal@pumpkinnet.com</t>
    <phoneticPr fontId="3" type="noConversion"/>
  </si>
  <si>
    <t>지디케이화장품</t>
    <phoneticPr fontId="3" type="noConversion"/>
  </si>
  <si>
    <t>서울 가산구</t>
    <phoneticPr fontId="3" type="noConversion"/>
  </si>
  <si>
    <t>일 9천원</t>
    <phoneticPr fontId="3" type="noConversion"/>
  </si>
  <si>
    <t>GDK</t>
    <phoneticPr fontId="3" type="noConversion"/>
  </si>
  <si>
    <t>롯데김해기내면세점</t>
    <phoneticPr fontId="3" type="noConversion"/>
  </si>
  <si>
    <t>큐지에이코리아</t>
    <phoneticPr fontId="3" type="noConversion"/>
  </si>
  <si>
    <t>5월 중</t>
    <phoneticPr fontId="3" type="noConversion"/>
  </si>
  <si>
    <t>유나이티드항공</t>
    <phoneticPr fontId="3" type="noConversion"/>
  </si>
  <si>
    <t>SKINFOOD</t>
    <phoneticPr fontId="3" type="noConversion"/>
  </si>
  <si>
    <t>경기 구리시</t>
    <phoneticPr fontId="3" type="noConversion"/>
  </si>
  <si>
    <t>간식비 월 16~18만원</t>
    <phoneticPr fontId="3" type="noConversion"/>
  </si>
  <si>
    <t>인당 연 400만</t>
    <phoneticPr fontId="3" type="noConversion"/>
  </si>
  <si>
    <t>야식권 일 5천원</t>
    <phoneticPr fontId="3" type="noConversion"/>
  </si>
  <si>
    <t>아스렉스코리아</t>
    <phoneticPr fontId="3" type="noConversion"/>
  </si>
  <si>
    <t>ARTHREX</t>
    <phoneticPr fontId="3" type="noConversion"/>
  </si>
  <si>
    <t>인당 연 60만원</t>
    <phoneticPr fontId="3" type="noConversion"/>
  </si>
  <si>
    <t>행복나무보호작업장</t>
    <phoneticPr fontId="3" type="noConversion"/>
  </si>
  <si>
    <t>HAPPYTREE</t>
    <phoneticPr fontId="3" type="noConversion"/>
  </si>
  <si>
    <t>인당 월 100만</t>
    <phoneticPr fontId="3" type="noConversion"/>
  </si>
  <si>
    <t>원밀리모어</t>
    <phoneticPr fontId="3" type="noConversion"/>
  </si>
  <si>
    <t>ONEMMMORE</t>
    <phoneticPr fontId="3" type="noConversion"/>
  </si>
  <si>
    <t>인당 월 20만</t>
    <phoneticPr fontId="3" type="noConversion"/>
  </si>
  <si>
    <t>페이스트페이스</t>
    <phoneticPr fontId="3" type="noConversion"/>
  </si>
  <si>
    <t>백정혜</t>
    <phoneticPr fontId="3" type="noConversion"/>
  </si>
  <si>
    <t>02-6205-8100</t>
    <phoneticPr fontId="3" type="noConversion"/>
  </si>
  <si>
    <t>jung@fastpace.kr</t>
    <phoneticPr fontId="3" type="noConversion"/>
  </si>
  <si>
    <t>블로터앤미디어</t>
    <phoneticPr fontId="3" type="noConversion"/>
  </si>
  <si>
    <t>윤보라</t>
    <phoneticPr fontId="3" type="noConversion"/>
  </si>
  <si>
    <t>bora2737@bloter.net</t>
    <phoneticPr fontId="3" type="noConversion"/>
  </si>
  <si>
    <t>엔픽셀</t>
    <phoneticPr fontId="3" type="noConversion"/>
  </si>
  <si>
    <t>문정</t>
    <phoneticPr fontId="3" type="noConversion"/>
  </si>
  <si>
    <t>인당 일 15,000원 (월 5,400만), 6/1 삼성 코엑스 이전</t>
    <phoneticPr fontId="3" type="noConversion"/>
  </si>
  <si>
    <t>최윤정</t>
    <phoneticPr fontId="3" type="noConversion"/>
  </si>
  <si>
    <t>yjchoi@napixel.co.kr</t>
    <phoneticPr fontId="3" type="noConversion"/>
  </si>
  <si>
    <t>삼성역</t>
    <phoneticPr fontId="3" type="noConversion"/>
  </si>
  <si>
    <t xml:space="preserve">happytree187@naver.com	</t>
    <phoneticPr fontId="3" type="noConversion"/>
  </si>
  <si>
    <t>인당 월 100만 (월 400만)</t>
    <phoneticPr fontId="3" type="noConversion"/>
  </si>
  <si>
    <t>블루산업개발</t>
    <phoneticPr fontId="3" type="noConversion"/>
  </si>
  <si>
    <t>인당 연 50만 + a (연 5천만)</t>
    <phoneticPr fontId="3" type="noConversion"/>
  </si>
  <si>
    <t>인준섭</t>
    <phoneticPr fontId="3" type="noConversion"/>
  </si>
  <si>
    <t>jslin@khblue.com</t>
    <phoneticPr fontId="3" type="noConversion"/>
  </si>
  <si>
    <t>비오로지스틱스</t>
    <phoneticPr fontId="3" type="noConversion"/>
  </si>
  <si>
    <t>발산</t>
    <phoneticPr fontId="3" type="noConversion"/>
  </si>
  <si>
    <t>minjulee113@naver.com</t>
    <phoneticPr fontId="3" type="noConversion"/>
  </si>
  <si>
    <t>학술정보원</t>
    <phoneticPr fontId="3" type="noConversion"/>
  </si>
  <si>
    <t>김소영</t>
    <phoneticPr fontId="3" type="noConversion"/>
  </si>
  <si>
    <t>02-639-3094</t>
    <phoneticPr fontId="3" type="noConversion"/>
  </si>
  <si>
    <t>sykim@keris.or.kr</t>
    <phoneticPr fontId="3" type="noConversion"/>
  </si>
  <si>
    <t>야근식대 일 9천원 (월 25만)</t>
    <phoneticPr fontId="3" type="noConversion"/>
  </si>
  <si>
    <t>알텐코리아</t>
    <phoneticPr fontId="3" type="noConversion"/>
  </si>
  <si>
    <t>구내식당 운영종료, 페이코 전환 검토 (27년 1분기 오픈목표)</t>
    <phoneticPr fontId="3" type="noConversion"/>
  </si>
  <si>
    <t>김규열</t>
    <phoneticPr fontId="3" type="noConversion"/>
  </si>
  <si>
    <t>gy.kim@alten-korea.com</t>
    <phoneticPr fontId="3" type="noConversion"/>
  </si>
  <si>
    <t xml:space="preserve">이준목 </t>
    <phoneticPr fontId="3" type="noConversion"/>
  </si>
  <si>
    <t>010-9214-0480</t>
    <phoneticPr fontId="3" type="noConversion"/>
  </si>
  <si>
    <t>moku@1mmmore.com</t>
    <phoneticPr fontId="3" type="noConversion"/>
  </si>
  <si>
    <t>유에스폴리텍</t>
    <phoneticPr fontId="3" type="noConversion"/>
  </si>
  <si>
    <t>인당 월 10만 (월 50만)</t>
    <phoneticPr fontId="3" type="noConversion"/>
  </si>
  <si>
    <t>김서운</t>
    <phoneticPr fontId="3" type="noConversion"/>
  </si>
  <si>
    <t>seowoon.kim@us-polytech.com</t>
    <phoneticPr fontId="3" type="noConversion"/>
  </si>
  <si>
    <t>미래새한감정평가법인</t>
    <phoneticPr fontId="3" type="noConversion"/>
  </si>
  <si>
    <t>wldydwjd@hanmail.net</t>
    <phoneticPr fontId="3" type="noConversion"/>
  </si>
  <si>
    <t>인당 일 9천원 (월 2천만)</t>
    <phoneticPr fontId="3" type="noConversion"/>
  </si>
  <si>
    <t>정지용</t>
    <phoneticPr fontId="3" type="noConversion"/>
  </si>
  <si>
    <t>어메스</t>
    <phoneticPr fontId="3" type="noConversion"/>
  </si>
  <si>
    <t>인당 월 20~30만원 (월 500만)</t>
    <phoneticPr fontId="3" type="noConversion"/>
  </si>
  <si>
    <t>이형민</t>
    <phoneticPr fontId="3" type="noConversion"/>
  </si>
  <si>
    <t>lhm@amass.co.kr</t>
    <phoneticPr fontId="3" type="noConversion"/>
  </si>
  <si>
    <t>인당 일 9천원 (월 900만)</t>
    <phoneticPr fontId="3" type="noConversion"/>
  </si>
  <si>
    <t xml:space="preserve">고다영 </t>
    <phoneticPr fontId="3" type="noConversion"/>
  </si>
  <si>
    <t>ekdud0309@gdkcosmetics.com</t>
    <phoneticPr fontId="3" type="noConversion"/>
  </si>
  <si>
    <t>현대에쓰앤에쓰</t>
    <phoneticPr fontId="3" type="noConversion"/>
  </si>
  <si>
    <t>김진호</t>
    <phoneticPr fontId="3" type="noConversion"/>
  </si>
  <si>
    <t>jhkim@h-sns.com</t>
    <phoneticPr fontId="3" type="noConversion"/>
  </si>
  <si>
    <t>실리콘투</t>
    <phoneticPr fontId="3" type="noConversion"/>
  </si>
  <si>
    <t>중식 2회 + 야근식대 (금액 미정)</t>
    <phoneticPr fontId="3" type="noConversion"/>
  </si>
  <si>
    <t>최원서</t>
    <phoneticPr fontId="3" type="noConversion"/>
  </si>
  <si>
    <t>effy@siliconii.net</t>
    <phoneticPr fontId="3" type="noConversion"/>
  </si>
  <si>
    <t>라스컴</t>
    <phoneticPr fontId="3" type="noConversion"/>
  </si>
  <si>
    <t>서수진</t>
    <phoneticPr fontId="3" type="noConversion"/>
  </si>
  <si>
    <t>sujin.seo@lascom.co.kr</t>
    <phoneticPr fontId="3" type="noConversion"/>
  </si>
  <si>
    <t>한국전기안전써비스</t>
    <phoneticPr fontId="3" type="noConversion"/>
  </si>
  <si>
    <t>인당 일 9천원 (월 1,500만)</t>
    <phoneticPr fontId="3" type="noConversion"/>
  </si>
  <si>
    <t xml:space="preserve">문준혁 </t>
    <phoneticPr fontId="3" type="noConversion"/>
  </si>
  <si>
    <t>트리프</t>
    <phoneticPr fontId="3" type="noConversion"/>
  </si>
  <si>
    <t>blueuoom@triif.co.kr</t>
    <phoneticPr fontId="3" type="noConversion"/>
  </si>
  <si>
    <t>정유민</t>
    <phoneticPr fontId="3" type="noConversion"/>
  </si>
  <si>
    <t xml:space="preserve">010-9593-9338
</t>
    <phoneticPr fontId="3" type="noConversion"/>
  </si>
  <si>
    <t>인당 월 25~30만 (월 200만)</t>
    <phoneticPr fontId="3" type="noConversion"/>
  </si>
  <si>
    <t>대성활어</t>
    <phoneticPr fontId="3" type="noConversion"/>
  </si>
  <si>
    <t>인당 월 46만 (월 3천만)</t>
    <phoneticPr fontId="3" type="noConversion"/>
  </si>
  <si>
    <t>강정미</t>
    <phoneticPr fontId="3" type="noConversion"/>
  </si>
  <si>
    <t>weblink9390@nate.com</t>
    <phoneticPr fontId="3" type="noConversion"/>
  </si>
  <si>
    <t>극동건설</t>
    <phoneticPr fontId="3" type="noConversion"/>
  </si>
  <si>
    <t>극동건설 안암현장 도입 건, 인당 월 30~50만 (월 1천만)</t>
    <phoneticPr fontId="3" type="noConversion"/>
  </si>
  <si>
    <t>안암</t>
    <phoneticPr fontId="3" type="noConversion"/>
  </si>
  <si>
    <t xml:space="preserve">이새롬  </t>
    <phoneticPr fontId="3" type="noConversion"/>
  </si>
  <si>
    <t>010-4572-3955</t>
    <phoneticPr fontId="3" type="noConversion"/>
  </si>
  <si>
    <t>31226140@kukdong.co.kr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</si>
</sst>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0.0%"/>
    <numFmt numFmtId="177" formatCode="mm&quot;월&quot;\ dd&quot;일&quot;"/>
    <numFmt numFmtId="178" formatCode="000\-0000\-0000"/>
    <numFmt numFmtId="179" formatCode="yyyy/mm/dd;@"/>
  </numFmts>
  <fonts count="57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indexed="8"/>
      <name val="맑은 고딕"/>
      <family val="2"/>
      <scheme val="minor"/>
    </font>
    <font>
      <b/>
      <sz val="9"/>
      <color indexed="81"/>
      <name val="돋움"/>
      <family val="3"/>
      <charset val="129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1"/>
      <name val="바탕"/>
      <family val="1"/>
      <charset val="129"/>
    </font>
    <font>
      <b/>
      <sz val="9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rgb="FFFF0000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9"/>
      <color theme="1" tint="0.499984740745262"/>
      <name val="맑은 고딕"/>
      <family val="3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b/>
      <sz val="9"/>
      <color theme="1" tint="0.499984740745262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0"/>
      <color rgb="FF000000"/>
      <name val="Segoe UI"/>
      <family val="2"/>
    </font>
    <font>
      <b/>
      <sz val="9"/>
      <name val="맑은 고딕"/>
      <family val="3"/>
      <charset val="129"/>
      <scheme val="minor"/>
    </font>
    <font>
      <sz val="9"/>
      <color theme="8"/>
      <name val="맑은 고딕"/>
      <family val="3"/>
      <charset val="129"/>
      <scheme val="minor"/>
    </font>
    <font>
      <b/>
      <sz val="9"/>
      <color theme="8"/>
      <name val="맑은 고딕"/>
      <family val="3"/>
      <charset val="129"/>
      <scheme val="minor"/>
    </font>
    <font>
      <sz val="11"/>
      <color rgb="FF222222"/>
      <name val="System-ui"/>
      <family val="3"/>
      <charset val="129"/>
    </font>
    <font>
      <sz val="9"/>
      <color theme="2" tint="-0.249977111117893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b/>
      <sz val="9"/>
      <color rgb="FFFF0000"/>
      <name val="맑은 고딕"/>
      <family val="2"/>
      <charset val="129"/>
      <scheme val="minor"/>
    </font>
    <font>
      <sz val="9"/>
      <color theme="6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theme="1"/>
      <name val="맑은 고딕"/>
      <family val="1"/>
      <charset val="129"/>
      <scheme val="minor"/>
    </font>
    <font>
      <b/>
      <sz val="9"/>
      <color theme="1"/>
      <name val="맑은 고딕"/>
      <family val="1"/>
      <charset val="129"/>
    </font>
    <font>
      <i/>
      <sz val="9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9"/>
      <color rgb="FFFF0000"/>
      <name val="맑은 고딕"/>
      <family val="3"/>
      <charset val="129"/>
      <scheme val="minor"/>
    </font>
    <font>
      <sz val="6"/>
      <color rgb="FFFF0000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12"/>
      <color rgb="FF222222"/>
      <name val="나눔고딕"/>
      <family val="3"/>
      <charset val="129"/>
    </font>
    <font>
      <sz val="10"/>
      <color rgb="FF111111"/>
      <name val="Segoe UI"/>
      <family val="2"/>
    </font>
    <font>
      <sz val="9"/>
      <color theme="4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9"/>
      <name val="Noto Sans CJK SC"/>
      <family val="2"/>
    </font>
    <font>
      <sz val="9"/>
      <name val="Arial"/>
      <family val="2"/>
    </font>
    <font>
      <sz val="9"/>
      <color rgb="FF000000"/>
      <name val="Noto Sans CJK SC"/>
      <family val="2"/>
    </font>
    <font>
      <sz val="9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double">
        <color indexed="64"/>
      </bottom>
      <diagonal/>
    </border>
    <border>
      <left/>
      <right style="thin">
        <color theme="0"/>
      </right>
      <top style="thin">
        <color theme="0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double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0"/>
      </left>
      <right style="thin">
        <color theme="0"/>
      </right>
      <top/>
      <bottom style="double">
        <color indexed="64"/>
      </bottom>
      <diagonal/>
    </border>
  </borders>
  <cellStyleXfs count="8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2" fillId="0" borderId="0" applyNumberFormat="0" applyFill="0" applyBorder="0" applyAlignment="0" applyProtection="0">
      <alignment vertical="center"/>
    </xf>
  </cellStyleXfs>
  <cellXfs count="559">
    <xf numFmtId="0" fontId="0" fillId="0" borderId="0" xfId="0">
      <alignment vertical="center"/>
    </xf>
    <xf numFmtId="0" fontId="9" fillId="0" borderId="6" xfId="0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41" fontId="9" fillId="0" borderId="2" xfId="1" applyFont="1" applyFill="1" applyBorder="1" applyAlignment="1">
      <alignment horizontal="center" vertical="center"/>
    </xf>
    <xf numFmtId="41" fontId="9" fillId="3" borderId="2" xfId="1" applyFont="1" applyFill="1" applyBorder="1" applyAlignment="1">
      <alignment horizontal="center" vertical="center"/>
    </xf>
    <xf numFmtId="41" fontId="9" fillId="0" borderId="6" xfId="1" applyFont="1" applyBorder="1" applyAlignment="1">
      <alignment horizontal="center" vertical="center"/>
    </xf>
    <xf numFmtId="41" fontId="9" fillId="0" borderId="8" xfId="1" applyFont="1" applyBorder="1" applyAlignment="1">
      <alignment horizontal="center" vertical="center"/>
    </xf>
    <xf numFmtId="41" fontId="11" fillId="0" borderId="7" xfId="1" applyFont="1" applyBorder="1" applyAlignment="1">
      <alignment horizontal="left" vertical="center"/>
    </xf>
    <xf numFmtId="41" fontId="9" fillId="0" borderId="7" xfId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/>
    </xf>
    <xf numFmtId="41" fontId="7" fillId="0" borderId="2" xfId="1" applyFont="1" applyBorder="1" applyAlignment="1">
      <alignment horizontal="center" vertical="center"/>
    </xf>
    <xf numFmtId="41" fontId="7" fillId="3" borderId="2" xfId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41" fontId="9" fillId="0" borderId="2" xfId="0" applyNumberFormat="1" applyFont="1" applyBorder="1" applyAlignment="1">
      <alignment horizontal="center" vertical="center"/>
    </xf>
    <xf numFmtId="41" fontId="9" fillId="3" borderId="2" xfId="1" quotePrefix="1" applyFont="1" applyFill="1" applyBorder="1" applyAlignment="1">
      <alignment horizontal="center" vertical="center"/>
    </xf>
    <xf numFmtId="41" fontId="10" fillId="0" borderId="2" xfId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41" fontId="9" fillId="3" borderId="2" xfId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177" fontId="10" fillId="0" borderId="15" xfId="0" applyNumberFormat="1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2" borderId="15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0" xfId="0" applyFont="1">
      <alignment vertical="center"/>
    </xf>
    <xf numFmtId="177" fontId="17" fillId="0" borderId="15" xfId="0" applyNumberFormat="1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41" fontId="17" fillId="3" borderId="2" xfId="1" applyFont="1" applyFill="1" applyBorder="1" applyAlignment="1">
      <alignment horizontal="center" vertical="center"/>
    </xf>
    <xf numFmtId="176" fontId="9" fillId="0" borderId="2" xfId="2" applyNumberFormat="1" applyFont="1" applyBorder="1" applyAlignment="1">
      <alignment horizontal="center" vertical="center"/>
    </xf>
    <xf numFmtId="41" fontId="20" fillId="2" borderId="2" xfId="1" applyFont="1" applyFill="1" applyBorder="1" applyAlignment="1">
      <alignment horizontal="center" vertical="center"/>
    </xf>
    <xf numFmtId="176" fontId="18" fillId="3" borderId="2" xfId="2" applyNumberFormat="1" applyFont="1" applyFill="1" applyBorder="1" applyAlignment="1">
      <alignment horizontal="center" vertical="center"/>
    </xf>
    <xf numFmtId="176" fontId="18" fillId="3" borderId="2" xfId="2" applyNumberFormat="1" applyFont="1" applyFill="1" applyBorder="1" applyAlignment="1">
      <alignment horizontal="center" vertical="center" wrapText="1"/>
    </xf>
    <xf numFmtId="41" fontId="9" fillId="0" borderId="9" xfId="1" applyFont="1" applyBorder="1" applyAlignment="1">
      <alignment horizontal="center" vertical="center"/>
    </xf>
    <xf numFmtId="3" fontId="21" fillId="5" borderId="2" xfId="0" applyNumberFormat="1" applyFont="1" applyFill="1" applyBorder="1" applyAlignment="1">
      <alignment horizontal="right" vertical="center" wrapText="1"/>
    </xf>
    <xf numFmtId="3" fontId="8" fillId="5" borderId="2" xfId="0" applyNumberFormat="1" applyFont="1" applyFill="1" applyBorder="1" applyAlignment="1">
      <alignment horizontal="right" vertical="center" wrapText="1"/>
    </xf>
    <xf numFmtId="41" fontId="22" fillId="0" borderId="2" xfId="1" applyFont="1" applyFill="1" applyBorder="1" applyAlignment="1">
      <alignment horizontal="center" vertical="center"/>
    </xf>
    <xf numFmtId="41" fontId="22" fillId="0" borderId="2" xfId="1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177" fontId="17" fillId="0" borderId="21" xfId="0" applyNumberFormat="1" applyFont="1" applyBorder="1" applyAlignment="1">
      <alignment horizontal="left" vertical="center"/>
    </xf>
    <xf numFmtId="177" fontId="10" fillId="0" borderId="20" xfId="0" applyNumberFormat="1" applyFont="1" applyBorder="1" applyAlignment="1">
      <alignment horizontal="left" vertical="center"/>
    </xf>
    <xf numFmtId="0" fontId="21" fillId="4" borderId="2" xfId="0" applyFont="1" applyFill="1" applyBorder="1" applyAlignment="1">
      <alignment horizontal="center" vertical="center" wrapText="1"/>
    </xf>
    <xf numFmtId="41" fontId="8" fillId="4" borderId="2" xfId="1" applyFont="1" applyFill="1" applyBorder="1" applyAlignment="1">
      <alignment horizontal="center" vertical="center"/>
    </xf>
    <xf numFmtId="41" fontId="8" fillId="4" borderId="2" xfId="1" applyFont="1" applyFill="1" applyBorder="1" applyAlignment="1">
      <alignment horizontal="right" vertical="center"/>
    </xf>
    <xf numFmtId="41" fontId="16" fillId="4" borderId="2" xfId="1" applyFont="1" applyFill="1" applyBorder="1" applyAlignment="1">
      <alignment horizontal="center" vertical="center"/>
    </xf>
    <xf numFmtId="41" fontId="9" fillId="0" borderId="2" xfId="1" quotePrefix="1" applyFont="1" applyBorder="1" applyAlignment="1">
      <alignment horizontal="center" vertical="center"/>
    </xf>
    <xf numFmtId="0" fontId="7" fillId="0" borderId="15" xfId="0" quotePrefix="1" applyFont="1" applyBorder="1" applyAlignment="1">
      <alignment horizontal="left" vertical="center"/>
    </xf>
    <xf numFmtId="176" fontId="16" fillId="4" borderId="2" xfId="2" applyNumberFormat="1" applyFont="1" applyFill="1" applyBorder="1" applyAlignment="1">
      <alignment horizontal="center" vertical="center"/>
    </xf>
    <xf numFmtId="176" fontId="20" fillId="4" borderId="2" xfId="2" quotePrefix="1" applyNumberFormat="1" applyFont="1" applyFill="1" applyBorder="1" applyAlignment="1">
      <alignment horizontal="center" vertical="center"/>
    </xf>
    <xf numFmtId="177" fontId="7" fillId="3" borderId="2" xfId="1" applyNumberFormat="1" applyFont="1" applyFill="1" applyBorder="1" applyAlignment="1">
      <alignment horizontal="center" vertical="center"/>
    </xf>
    <xf numFmtId="177" fontId="9" fillId="3" borderId="2" xfId="1" applyNumberFormat="1" applyFont="1" applyFill="1" applyBorder="1" applyAlignment="1">
      <alignment horizontal="center" vertical="center"/>
    </xf>
    <xf numFmtId="177" fontId="7" fillId="3" borderId="5" xfId="1" applyNumberFormat="1" applyFont="1" applyFill="1" applyBorder="1" applyAlignment="1">
      <alignment horizontal="center" vertical="center"/>
    </xf>
    <xf numFmtId="41" fontId="9" fillId="0" borderId="5" xfId="1" applyFont="1" applyFill="1" applyBorder="1" applyAlignment="1">
      <alignment horizontal="center" vertical="center"/>
    </xf>
    <xf numFmtId="41" fontId="9" fillId="0" borderId="5" xfId="1" applyFont="1" applyBorder="1" applyAlignment="1">
      <alignment horizontal="center" vertical="center"/>
    </xf>
    <xf numFmtId="177" fontId="9" fillId="3" borderId="5" xfId="1" applyNumberFormat="1" applyFont="1" applyFill="1" applyBorder="1" applyAlignment="1">
      <alignment horizontal="center" vertical="center"/>
    </xf>
    <xf numFmtId="41" fontId="7" fillId="3" borderId="5" xfId="1" applyFont="1" applyFill="1" applyBorder="1" applyAlignment="1">
      <alignment horizontal="center" vertical="center"/>
    </xf>
    <xf numFmtId="41" fontId="7" fillId="0" borderId="5" xfId="1" applyFont="1" applyFill="1" applyBorder="1" applyAlignment="1">
      <alignment horizontal="center" vertical="center"/>
    </xf>
    <xf numFmtId="41" fontId="9" fillId="3" borderId="12" xfId="1" applyFont="1" applyFill="1" applyBorder="1" applyAlignment="1">
      <alignment horizontal="center" vertical="center"/>
    </xf>
    <xf numFmtId="177" fontId="9" fillId="3" borderId="12" xfId="1" applyNumberFormat="1" applyFont="1" applyFill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41" fontId="7" fillId="0" borderId="5" xfId="1" applyFont="1" applyBorder="1" applyAlignment="1">
      <alignment horizontal="center" vertical="center"/>
    </xf>
    <xf numFmtId="41" fontId="7" fillId="3" borderId="12" xfId="1" applyFont="1" applyFill="1" applyBorder="1" applyAlignment="1">
      <alignment horizontal="center" vertical="center"/>
    </xf>
    <xf numFmtId="41" fontId="7" fillId="3" borderId="4" xfId="1" applyFont="1" applyFill="1" applyBorder="1" applyAlignment="1">
      <alignment horizontal="center" vertical="center"/>
    </xf>
    <xf numFmtId="177" fontId="7" fillId="3" borderId="3" xfId="1" applyNumberFormat="1" applyFont="1" applyFill="1" applyBorder="1" applyAlignment="1">
      <alignment horizontal="center" vertical="center"/>
    </xf>
    <xf numFmtId="41" fontId="7" fillId="3" borderId="3" xfId="1" applyFont="1" applyFill="1" applyBorder="1" applyAlignment="1">
      <alignment horizontal="center" vertical="center"/>
    </xf>
    <xf numFmtId="41" fontId="7" fillId="0" borderId="3" xfId="1" applyFont="1" applyFill="1" applyBorder="1" applyAlignment="1">
      <alignment horizontal="center" vertical="center"/>
    </xf>
    <xf numFmtId="41" fontId="7" fillId="0" borderId="3" xfId="1" applyFont="1" applyBorder="1" applyAlignment="1">
      <alignment horizontal="center" vertical="center"/>
    </xf>
    <xf numFmtId="177" fontId="7" fillId="3" borderId="12" xfId="1" applyNumberFormat="1" applyFont="1" applyFill="1" applyBorder="1" applyAlignment="1">
      <alignment horizontal="center" vertical="center"/>
    </xf>
    <xf numFmtId="41" fontId="7" fillId="0" borderId="12" xfId="1" applyFont="1" applyFill="1" applyBorder="1" applyAlignment="1">
      <alignment horizontal="center" vertical="center"/>
    </xf>
    <xf numFmtId="41" fontId="7" fillId="0" borderId="12" xfId="1" applyFont="1" applyBorder="1" applyAlignment="1">
      <alignment horizontal="center" vertical="center"/>
    </xf>
    <xf numFmtId="41" fontId="9" fillId="3" borderId="23" xfId="1" applyFont="1" applyFill="1" applyBorder="1" applyAlignment="1">
      <alignment horizontal="center" vertical="center"/>
    </xf>
    <xf numFmtId="177" fontId="7" fillId="3" borderId="23" xfId="1" applyNumberFormat="1" applyFont="1" applyFill="1" applyBorder="1" applyAlignment="1">
      <alignment horizontal="center" vertical="center"/>
    </xf>
    <xf numFmtId="41" fontId="7" fillId="3" borderId="23" xfId="1" applyFont="1" applyFill="1" applyBorder="1" applyAlignment="1">
      <alignment horizontal="center" vertical="center"/>
    </xf>
    <xf numFmtId="41" fontId="7" fillId="0" borderId="23" xfId="1" applyFont="1" applyFill="1" applyBorder="1" applyAlignment="1">
      <alignment horizontal="center" vertical="center"/>
    </xf>
    <xf numFmtId="41" fontId="7" fillId="0" borderId="23" xfId="1" applyFont="1" applyBorder="1" applyAlignment="1">
      <alignment horizontal="center" vertical="center"/>
    </xf>
    <xf numFmtId="41" fontId="7" fillId="3" borderId="2" xfId="1" quotePrefix="1" applyFont="1" applyFill="1" applyBorder="1" applyAlignment="1">
      <alignment horizontal="center" vertical="center"/>
    </xf>
    <xf numFmtId="41" fontId="7" fillId="0" borderId="2" xfId="1" applyFont="1" applyFill="1" applyBorder="1" applyAlignment="1">
      <alignment horizontal="center" vertical="center"/>
    </xf>
    <xf numFmtId="41" fontId="9" fillId="0" borderId="12" xfId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41" fontId="7" fillId="3" borderId="5" xfId="1" quotePrefix="1" applyFont="1" applyFill="1" applyBorder="1" applyAlignment="1">
      <alignment horizontal="center" vertical="center"/>
    </xf>
    <xf numFmtId="0" fontId="29" fillId="0" borderId="6" xfId="0" applyFont="1" applyBorder="1" applyAlignment="1">
      <alignment horizontal="left" vertical="center"/>
    </xf>
    <xf numFmtId="177" fontId="9" fillId="0" borderId="15" xfId="0" applyNumberFormat="1" applyFont="1" applyBorder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9" fillId="0" borderId="15" xfId="0" quotePrefix="1" applyFont="1" applyBorder="1" applyAlignment="1">
      <alignment horizontal="left" vertical="center"/>
    </xf>
    <xf numFmtId="3" fontId="9" fillId="0" borderId="15" xfId="0" quotePrefix="1" applyNumberFormat="1" applyFont="1" applyBorder="1" applyAlignment="1">
      <alignment horizontal="left" vertical="center"/>
    </xf>
    <xf numFmtId="0" fontId="29" fillId="0" borderId="15" xfId="0" applyFont="1" applyBorder="1" applyAlignment="1">
      <alignment horizontal="center" vertical="center"/>
    </xf>
    <xf numFmtId="176" fontId="29" fillId="0" borderId="15" xfId="2" applyNumberFormat="1" applyFont="1" applyBorder="1" applyAlignment="1">
      <alignment horizontal="center" vertical="center"/>
    </xf>
    <xf numFmtId="0" fontId="17" fillId="0" borderId="15" xfId="0" quotePrefix="1" applyFont="1" applyBorder="1" applyAlignment="1">
      <alignment horizontal="left" vertical="center"/>
    </xf>
    <xf numFmtId="41" fontId="17" fillId="0" borderId="2" xfId="1" applyFont="1" applyBorder="1" applyAlignment="1">
      <alignment horizontal="center" vertical="center"/>
    </xf>
    <xf numFmtId="41" fontId="9" fillId="3" borderId="26" xfId="1" applyFont="1" applyFill="1" applyBorder="1" applyAlignment="1">
      <alignment horizontal="center" vertical="center"/>
    </xf>
    <xf numFmtId="177" fontId="9" fillId="3" borderId="26" xfId="1" applyNumberFormat="1" applyFont="1" applyFill="1" applyBorder="1" applyAlignment="1">
      <alignment horizontal="center" vertical="center"/>
    </xf>
    <xf numFmtId="177" fontId="9" fillId="3" borderId="3" xfId="1" applyNumberFormat="1" applyFont="1" applyFill="1" applyBorder="1" applyAlignment="1">
      <alignment horizontal="center" vertical="center"/>
    </xf>
    <xf numFmtId="41" fontId="9" fillId="0" borderId="3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7" fontId="9" fillId="3" borderId="4" xfId="1" applyNumberFormat="1" applyFont="1" applyFill="1" applyBorder="1" applyAlignment="1">
      <alignment horizontal="center" vertical="center"/>
    </xf>
    <xf numFmtId="41" fontId="7" fillId="0" borderId="4" xfId="1" applyFont="1" applyFill="1" applyBorder="1" applyAlignment="1">
      <alignment horizontal="center" vertical="center"/>
    </xf>
    <xf numFmtId="41" fontId="9" fillId="0" borderId="4" xfId="1" applyFont="1" applyBorder="1" applyAlignment="1">
      <alignment horizontal="center" vertical="center"/>
    </xf>
    <xf numFmtId="41" fontId="7" fillId="3" borderId="5" xfId="1" quotePrefix="1" applyFont="1" applyFill="1" applyBorder="1" applyAlignment="1">
      <alignment horizontal="right" vertical="center"/>
    </xf>
    <xf numFmtId="41" fontId="7" fillId="3" borderId="5" xfId="1" applyFont="1" applyFill="1" applyBorder="1" applyAlignment="1">
      <alignment horizontal="right" vertical="center"/>
    </xf>
    <xf numFmtId="41" fontId="7" fillId="3" borderId="26" xfId="1" applyFont="1" applyFill="1" applyBorder="1" applyAlignment="1">
      <alignment horizontal="center" vertical="center"/>
    </xf>
    <xf numFmtId="41" fontId="7" fillId="0" borderId="26" xfId="1" applyFont="1" applyFill="1" applyBorder="1" applyAlignment="1">
      <alignment horizontal="center" vertical="center"/>
    </xf>
    <xf numFmtId="41" fontId="7" fillId="3" borderId="26" xfId="1" quotePrefix="1" applyFont="1" applyFill="1" applyBorder="1" applyAlignment="1">
      <alignment horizontal="right" vertical="center"/>
    </xf>
    <xf numFmtId="41" fontId="7" fillId="3" borderId="26" xfId="1" applyFont="1" applyFill="1" applyBorder="1" applyAlignment="1">
      <alignment horizontal="right" vertical="center"/>
    </xf>
    <xf numFmtId="41" fontId="9" fillId="0" borderId="26" xfId="1" applyFont="1" applyBorder="1" applyAlignment="1">
      <alignment horizontal="center" vertical="center"/>
    </xf>
    <xf numFmtId="176" fontId="9" fillId="0" borderId="11" xfId="2" applyNumberFormat="1" applyFont="1" applyBorder="1" applyAlignment="1">
      <alignment horizontal="center" vertical="center"/>
    </xf>
    <xf numFmtId="43" fontId="9" fillId="0" borderId="6" xfId="1" applyNumberFormat="1" applyFont="1" applyBorder="1" applyAlignment="1">
      <alignment horizontal="center" vertical="center"/>
    </xf>
    <xf numFmtId="41" fontId="7" fillId="6" borderId="5" xfId="1" applyFont="1" applyFill="1" applyBorder="1" applyAlignment="1">
      <alignment horizontal="center" vertical="center"/>
    </xf>
    <xf numFmtId="41" fontId="7" fillId="6" borderId="4" xfId="1" applyFont="1" applyFill="1" applyBorder="1" applyAlignment="1">
      <alignment horizontal="center" vertical="center"/>
    </xf>
    <xf numFmtId="41" fontId="7" fillId="6" borderId="2" xfId="1" applyFont="1" applyFill="1" applyBorder="1" applyAlignment="1">
      <alignment horizontal="center" vertical="center"/>
    </xf>
    <xf numFmtId="41" fontId="7" fillId="6" borderId="26" xfId="1" applyFont="1" applyFill="1" applyBorder="1" applyAlignment="1">
      <alignment horizontal="center" vertical="center"/>
    </xf>
    <xf numFmtId="41" fontId="9" fillId="6" borderId="5" xfId="1" applyFont="1" applyFill="1" applyBorder="1" applyAlignment="1">
      <alignment horizontal="center" vertical="center"/>
    </xf>
    <xf numFmtId="177" fontId="9" fillId="0" borderId="2" xfId="1" applyNumberFormat="1" applyFont="1" applyBorder="1" applyAlignment="1">
      <alignment horizontal="center" vertical="center"/>
    </xf>
    <xf numFmtId="41" fontId="7" fillId="0" borderId="2" xfId="1" quotePrefix="1" applyFont="1" applyBorder="1" applyAlignment="1">
      <alignment horizontal="center" vertical="center"/>
    </xf>
    <xf numFmtId="177" fontId="9" fillId="0" borderId="5" xfId="1" applyNumberFormat="1" applyFont="1" applyBorder="1" applyAlignment="1">
      <alignment horizontal="center" vertical="center"/>
    </xf>
    <xf numFmtId="177" fontId="9" fillId="0" borderId="12" xfId="1" applyNumberFormat="1" applyFont="1" applyBorder="1" applyAlignment="1">
      <alignment horizontal="center" vertical="center"/>
    </xf>
    <xf numFmtId="0" fontId="7" fillId="7" borderId="15" xfId="0" applyFont="1" applyFill="1" applyBorder="1" applyAlignment="1">
      <alignment horizontal="left" vertical="center"/>
    </xf>
    <xf numFmtId="41" fontId="9" fillId="0" borderId="30" xfId="1" applyFont="1" applyBorder="1" applyAlignment="1">
      <alignment horizontal="center" vertical="center"/>
    </xf>
    <xf numFmtId="177" fontId="9" fillId="0" borderId="30" xfId="1" applyNumberFormat="1" applyFont="1" applyBorder="1" applyAlignment="1">
      <alignment horizontal="center" vertical="center"/>
    </xf>
    <xf numFmtId="41" fontId="9" fillId="3" borderId="5" xfId="1" applyFont="1" applyFill="1" applyBorder="1" applyAlignment="1">
      <alignment horizontal="right" vertical="center"/>
    </xf>
    <xf numFmtId="41" fontId="7" fillId="0" borderId="30" xfId="1" applyFont="1" applyBorder="1" applyAlignment="1">
      <alignment horizontal="center" vertical="center"/>
    </xf>
    <xf numFmtId="0" fontId="10" fillId="7" borderId="20" xfId="0" applyFont="1" applyFill="1" applyBorder="1" applyAlignment="1">
      <alignment horizontal="left" vertical="center"/>
    </xf>
    <xf numFmtId="0" fontId="10" fillId="7" borderId="21" xfId="0" applyFont="1" applyFill="1" applyBorder="1" applyAlignment="1">
      <alignment horizontal="left" vertical="center"/>
    </xf>
    <xf numFmtId="0" fontId="10" fillId="7" borderId="15" xfId="0" applyFont="1" applyFill="1" applyBorder="1" applyAlignment="1">
      <alignment horizontal="left" vertical="center"/>
    </xf>
    <xf numFmtId="177" fontId="17" fillId="7" borderId="15" xfId="0" applyNumberFormat="1" applyFont="1" applyFill="1" applyBorder="1" applyAlignment="1">
      <alignment horizontal="left" vertical="center"/>
    </xf>
    <xf numFmtId="0" fontId="17" fillId="7" borderId="15" xfId="0" applyFont="1" applyFill="1" applyBorder="1" applyAlignment="1">
      <alignment horizontal="left" vertical="center"/>
    </xf>
    <xf numFmtId="0" fontId="10" fillId="7" borderId="19" xfId="0" applyFont="1" applyFill="1" applyBorder="1" applyAlignment="1">
      <alignment horizontal="left" vertical="center"/>
    </xf>
    <xf numFmtId="0" fontId="10" fillId="8" borderId="20" xfId="0" applyFont="1" applyFill="1" applyBorder="1" applyAlignment="1">
      <alignment horizontal="left" vertical="center"/>
    </xf>
    <xf numFmtId="177" fontId="17" fillId="8" borderId="20" xfId="0" applyNumberFormat="1" applyFont="1" applyFill="1" applyBorder="1" applyAlignment="1">
      <alignment horizontal="left" vertical="center"/>
    </xf>
    <xf numFmtId="0" fontId="17" fillId="8" borderId="20" xfId="0" applyFont="1" applyFill="1" applyBorder="1" applyAlignment="1">
      <alignment horizontal="left" vertical="center"/>
    </xf>
    <xf numFmtId="0" fontId="7" fillId="8" borderId="20" xfId="0" applyFont="1" applyFill="1" applyBorder="1" applyAlignment="1">
      <alignment horizontal="left" vertical="center"/>
    </xf>
    <xf numFmtId="0" fontId="10" fillId="8" borderId="21" xfId="0" applyFont="1" applyFill="1" applyBorder="1" applyAlignment="1">
      <alignment horizontal="left" vertical="center"/>
    </xf>
    <xf numFmtId="0" fontId="10" fillId="8" borderId="15" xfId="0" applyFont="1" applyFill="1" applyBorder="1" applyAlignment="1">
      <alignment horizontal="left" vertical="center"/>
    </xf>
    <xf numFmtId="177" fontId="17" fillId="8" borderId="15" xfId="0" applyNumberFormat="1" applyFont="1" applyFill="1" applyBorder="1" applyAlignment="1">
      <alignment horizontal="left" vertical="center"/>
    </xf>
    <xf numFmtId="0" fontId="17" fillId="8" borderId="15" xfId="0" applyFont="1" applyFill="1" applyBorder="1" applyAlignment="1">
      <alignment horizontal="left" vertical="center"/>
    </xf>
    <xf numFmtId="0" fontId="7" fillId="8" borderId="15" xfId="0" applyFont="1" applyFill="1" applyBorder="1" applyAlignment="1">
      <alignment horizontal="left" vertical="center"/>
    </xf>
    <xf numFmtId="0" fontId="10" fillId="8" borderId="19" xfId="0" applyFont="1" applyFill="1" applyBorder="1" applyAlignment="1">
      <alignment horizontal="left" vertical="center"/>
    </xf>
    <xf numFmtId="0" fontId="17" fillId="8" borderId="19" xfId="0" applyFont="1" applyFill="1" applyBorder="1" applyAlignment="1">
      <alignment horizontal="left" vertical="center"/>
    </xf>
    <xf numFmtId="177" fontId="17" fillId="8" borderId="19" xfId="0" applyNumberFormat="1" applyFont="1" applyFill="1" applyBorder="1" applyAlignment="1">
      <alignment horizontal="left" vertical="center"/>
    </xf>
    <xf numFmtId="0" fontId="7" fillId="8" borderId="19" xfId="0" applyFont="1" applyFill="1" applyBorder="1" applyAlignment="1">
      <alignment horizontal="left" vertical="center"/>
    </xf>
    <xf numFmtId="177" fontId="17" fillId="8" borderId="21" xfId="0" applyNumberFormat="1" applyFont="1" applyFill="1" applyBorder="1" applyAlignment="1">
      <alignment horizontal="left" vertical="center"/>
    </xf>
    <xf numFmtId="177" fontId="10" fillId="8" borderId="15" xfId="0" applyNumberFormat="1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177" fontId="9" fillId="8" borderId="21" xfId="0" applyNumberFormat="1" applyFont="1" applyFill="1" applyBorder="1" applyAlignment="1">
      <alignment horizontal="left" vertical="center"/>
    </xf>
    <xf numFmtId="177" fontId="9" fillId="8" borderId="15" xfId="0" applyNumberFormat="1" applyFont="1" applyFill="1" applyBorder="1" applyAlignment="1">
      <alignment horizontal="left" vertical="center"/>
    </xf>
    <xf numFmtId="0" fontId="9" fillId="8" borderId="15" xfId="0" applyFont="1" applyFill="1" applyBorder="1" applyAlignment="1">
      <alignment horizontal="left" vertical="center"/>
    </xf>
    <xf numFmtId="0" fontId="10" fillId="8" borderId="24" xfId="0" applyFont="1" applyFill="1" applyBorder="1" applyAlignment="1">
      <alignment horizontal="left" vertical="center"/>
    </xf>
    <xf numFmtId="177" fontId="17" fillId="8" borderId="24" xfId="0" applyNumberFormat="1" applyFont="1" applyFill="1" applyBorder="1" applyAlignment="1">
      <alignment horizontal="left" vertical="center"/>
    </xf>
    <xf numFmtId="0" fontId="17" fillId="8" borderId="24" xfId="0" applyFont="1" applyFill="1" applyBorder="1" applyAlignment="1">
      <alignment horizontal="left" vertical="center"/>
    </xf>
    <xf numFmtId="0" fontId="7" fillId="8" borderId="24" xfId="0" applyFont="1" applyFill="1" applyBorder="1" applyAlignment="1">
      <alignment horizontal="left" vertical="center"/>
    </xf>
    <xf numFmtId="0" fontId="7" fillId="8" borderId="21" xfId="0" applyFont="1" applyFill="1" applyBorder="1" applyAlignment="1">
      <alignment horizontal="left" vertical="center"/>
    </xf>
    <xf numFmtId="177" fontId="10" fillId="8" borderId="20" xfId="0" applyNumberFormat="1" applyFont="1" applyFill="1" applyBorder="1" applyAlignment="1">
      <alignment horizontal="left" vertical="center"/>
    </xf>
    <xf numFmtId="0" fontId="17" fillId="8" borderId="15" xfId="0" quotePrefix="1" applyFont="1" applyFill="1" applyBorder="1" applyAlignment="1">
      <alignment horizontal="left" vertical="center"/>
    </xf>
    <xf numFmtId="0" fontId="7" fillId="8" borderId="15" xfId="0" quotePrefix="1" applyFont="1" applyFill="1" applyBorder="1" applyAlignment="1">
      <alignment horizontal="left" vertical="center"/>
    </xf>
    <xf numFmtId="0" fontId="8" fillId="7" borderId="19" xfId="0" applyFont="1" applyFill="1" applyBorder="1" applyAlignment="1">
      <alignment horizontal="left" vertical="center"/>
    </xf>
    <xf numFmtId="177" fontId="17" fillId="7" borderId="19" xfId="0" applyNumberFormat="1" applyFont="1" applyFill="1" applyBorder="1" applyAlignment="1">
      <alignment horizontal="left" vertical="center"/>
    </xf>
    <xf numFmtId="0" fontId="17" fillId="7" borderId="19" xfId="0" applyFont="1" applyFill="1" applyBorder="1" applyAlignment="1">
      <alignment horizontal="left" vertical="center"/>
    </xf>
    <xf numFmtId="0" fontId="7" fillId="7" borderId="19" xfId="0" applyFont="1" applyFill="1" applyBorder="1" applyAlignment="1">
      <alignment horizontal="left" vertical="center"/>
    </xf>
    <xf numFmtId="177" fontId="17" fillId="7" borderId="21" xfId="0" applyNumberFormat="1" applyFont="1" applyFill="1" applyBorder="1" applyAlignment="1">
      <alignment horizontal="left" vertical="center"/>
    </xf>
    <xf numFmtId="0" fontId="17" fillId="7" borderId="21" xfId="0" applyFont="1" applyFill="1" applyBorder="1" applyAlignment="1">
      <alignment horizontal="left" vertical="center"/>
    </xf>
    <xf numFmtId="0" fontId="7" fillId="7" borderId="21" xfId="0" applyFont="1" applyFill="1" applyBorder="1" applyAlignment="1">
      <alignment horizontal="left" vertical="center"/>
    </xf>
    <xf numFmtId="0" fontId="8" fillId="7" borderId="21" xfId="0" applyFont="1" applyFill="1" applyBorder="1" applyAlignment="1">
      <alignment horizontal="left" vertical="center"/>
    </xf>
    <xf numFmtId="0" fontId="8" fillId="7" borderId="15" xfId="0" applyFont="1" applyFill="1" applyBorder="1" applyAlignment="1">
      <alignment horizontal="left" vertical="center"/>
    </xf>
    <xf numFmtId="177" fontId="9" fillId="7" borderId="21" xfId="0" applyNumberFormat="1" applyFont="1" applyFill="1" applyBorder="1" applyAlignment="1">
      <alignment horizontal="left" vertical="center"/>
    </xf>
    <xf numFmtId="177" fontId="9" fillId="7" borderId="15" xfId="0" applyNumberFormat="1" applyFont="1" applyFill="1" applyBorder="1" applyAlignment="1">
      <alignment horizontal="left" vertical="center"/>
    </xf>
    <xf numFmtId="0" fontId="9" fillId="7" borderId="15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/>
    </xf>
    <xf numFmtId="177" fontId="10" fillId="7" borderId="15" xfId="0" applyNumberFormat="1" applyFont="1" applyFill="1" applyBorder="1" applyAlignment="1">
      <alignment horizontal="left" vertical="center"/>
    </xf>
    <xf numFmtId="177" fontId="10" fillId="7" borderId="20" xfId="0" applyNumberFormat="1" applyFont="1" applyFill="1" applyBorder="1" applyAlignment="1">
      <alignment horizontal="left" vertical="center"/>
    </xf>
    <xf numFmtId="0" fontId="17" fillId="7" borderId="15" xfId="0" quotePrefix="1" applyFont="1" applyFill="1" applyBorder="1" applyAlignment="1">
      <alignment horizontal="left" vertical="center"/>
    </xf>
    <xf numFmtId="0" fontId="17" fillId="3" borderId="15" xfId="0" quotePrefix="1" applyFont="1" applyFill="1" applyBorder="1" applyAlignment="1">
      <alignment horizontal="left" vertical="center"/>
    </xf>
    <xf numFmtId="0" fontId="7" fillId="7" borderId="15" xfId="0" quotePrefix="1" applyFont="1" applyFill="1" applyBorder="1" applyAlignment="1">
      <alignment horizontal="left" vertical="center"/>
    </xf>
    <xf numFmtId="177" fontId="10" fillId="9" borderId="20" xfId="0" applyNumberFormat="1" applyFont="1" applyFill="1" applyBorder="1" applyAlignment="1">
      <alignment horizontal="left" vertical="center"/>
    </xf>
    <xf numFmtId="177" fontId="17" fillId="9" borderId="15" xfId="0" applyNumberFormat="1" applyFont="1" applyFill="1" applyBorder="1" applyAlignment="1">
      <alignment horizontal="left" vertical="center"/>
    </xf>
    <xf numFmtId="177" fontId="10" fillId="9" borderId="15" xfId="0" applyNumberFormat="1" applyFont="1" applyFill="1" applyBorder="1" applyAlignment="1">
      <alignment horizontal="left" vertical="center"/>
    </xf>
    <xf numFmtId="0" fontId="17" fillId="9" borderId="15" xfId="0" quotePrefix="1" applyFont="1" applyFill="1" applyBorder="1" applyAlignment="1">
      <alignment horizontal="left" vertical="center"/>
    </xf>
    <xf numFmtId="0" fontId="7" fillId="9" borderId="15" xfId="0" applyFont="1" applyFill="1" applyBorder="1" applyAlignment="1">
      <alignment horizontal="left" vertical="center"/>
    </xf>
    <xf numFmtId="0" fontId="8" fillId="9" borderId="15" xfId="0" applyFont="1" applyFill="1" applyBorder="1" applyAlignment="1">
      <alignment horizontal="left" vertical="center"/>
    </xf>
    <xf numFmtId="0" fontId="10" fillId="6" borderId="20" xfId="0" applyFont="1" applyFill="1" applyBorder="1" applyAlignment="1">
      <alignment horizontal="left" vertical="center"/>
    </xf>
    <xf numFmtId="177" fontId="17" fillId="6" borderId="21" xfId="0" applyNumberFormat="1" applyFont="1" applyFill="1" applyBorder="1" applyAlignment="1">
      <alignment horizontal="left" vertical="center"/>
    </xf>
    <xf numFmtId="177" fontId="17" fillId="6" borderId="15" xfId="0" applyNumberFormat="1" applyFont="1" applyFill="1" applyBorder="1" applyAlignment="1">
      <alignment horizontal="left" vertical="center"/>
    </xf>
    <xf numFmtId="177" fontId="10" fillId="6" borderId="15" xfId="0" applyNumberFormat="1" applyFont="1" applyFill="1" applyBorder="1" applyAlignment="1">
      <alignment horizontal="left" vertical="center"/>
    </xf>
    <xf numFmtId="0" fontId="17" fillId="6" borderId="15" xfId="0" applyFont="1" applyFill="1" applyBorder="1" applyAlignment="1">
      <alignment horizontal="left" vertical="center"/>
    </xf>
    <xf numFmtId="0" fontId="7" fillId="6" borderId="15" xfId="0" applyFont="1" applyFill="1" applyBorder="1" applyAlignment="1">
      <alignment horizontal="left" vertical="center"/>
    </xf>
    <xf numFmtId="0" fontId="7" fillId="6" borderId="21" xfId="0" applyFont="1" applyFill="1" applyBorder="1" applyAlignment="1">
      <alignment horizontal="left" vertical="center"/>
    </xf>
    <xf numFmtId="0" fontId="7" fillId="6" borderId="15" xfId="0" quotePrefix="1" applyFont="1" applyFill="1" applyBorder="1" applyAlignment="1">
      <alignment horizontal="left" vertical="center"/>
    </xf>
    <xf numFmtId="0" fontId="8" fillId="6" borderId="15" xfId="0" applyFont="1" applyFill="1" applyBorder="1" applyAlignment="1">
      <alignment horizontal="left" vertical="center"/>
    </xf>
    <xf numFmtId="177" fontId="10" fillId="6" borderId="20" xfId="0" applyNumberFormat="1" applyFont="1" applyFill="1" applyBorder="1" applyAlignment="1">
      <alignment horizontal="left" vertical="center"/>
    </xf>
    <xf numFmtId="0" fontId="17" fillId="6" borderId="15" xfId="0" quotePrefix="1" applyFont="1" applyFill="1" applyBorder="1" applyAlignment="1">
      <alignment horizontal="left" vertical="center"/>
    </xf>
    <xf numFmtId="0" fontId="9" fillId="6" borderId="15" xfId="0" applyFont="1" applyFill="1" applyBorder="1" applyAlignment="1">
      <alignment horizontal="left" vertical="center"/>
    </xf>
    <xf numFmtId="177" fontId="10" fillId="3" borderId="20" xfId="0" applyNumberFormat="1" applyFont="1" applyFill="1" applyBorder="1" applyAlignment="1">
      <alignment horizontal="left" vertical="center"/>
    </xf>
    <xf numFmtId="177" fontId="17" fillId="3" borderId="15" xfId="0" applyNumberFormat="1" applyFont="1" applyFill="1" applyBorder="1" applyAlignment="1">
      <alignment horizontal="left" vertical="center"/>
    </xf>
    <xf numFmtId="177" fontId="10" fillId="3" borderId="15" xfId="0" applyNumberFormat="1" applyFont="1" applyFill="1" applyBorder="1" applyAlignment="1">
      <alignment horizontal="left" vertical="center"/>
    </xf>
    <xf numFmtId="0" fontId="9" fillId="3" borderId="15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left" vertical="center"/>
    </xf>
    <xf numFmtId="41" fontId="31" fillId="0" borderId="11" xfId="1" applyFont="1" applyBorder="1" applyAlignment="1">
      <alignment horizontal="center" vertical="center"/>
    </xf>
    <xf numFmtId="176" fontId="31" fillId="0" borderId="11" xfId="2" applyNumberFormat="1" applyFont="1" applyBorder="1" applyAlignment="1">
      <alignment horizontal="center" vertical="center"/>
    </xf>
    <xf numFmtId="41" fontId="31" fillId="0" borderId="6" xfId="1" applyFont="1" applyBorder="1" applyAlignment="1">
      <alignment horizontal="center" vertical="center"/>
    </xf>
    <xf numFmtId="176" fontId="31" fillId="0" borderId="6" xfId="2" applyNumberFormat="1" applyFont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41" fontId="9" fillId="3" borderId="5" xfId="1" quotePrefix="1" applyFont="1" applyFill="1" applyBorder="1" applyAlignment="1">
      <alignment horizontal="right" vertical="center"/>
    </xf>
    <xf numFmtId="41" fontId="9" fillId="6" borderId="2" xfId="1" applyFont="1" applyFill="1" applyBorder="1" applyAlignment="1">
      <alignment horizontal="center" vertical="center"/>
    </xf>
    <xf numFmtId="41" fontId="9" fillId="3" borderId="2" xfId="1" quotePrefix="1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41" fontId="9" fillId="0" borderId="7" xfId="1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41" fontId="9" fillId="0" borderId="10" xfId="1" applyFont="1" applyBorder="1" applyAlignment="1">
      <alignment horizontal="left" vertical="center"/>
    </xf>
    <xf numFmtId="41" fontId="9" fillId="0" borderId="11" xfId="1" applyFont="1" applyBorder="1" applyAlignment="1">
      <alignment horizontal="left" vertical="center"/>
    </xf>
    <xf numFmtId="9" fontId="9" fillId="0" borderId="9" xfId="0" applyNumberFormat="1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3" fontId="32" fillId="0" borderId="11" xfId="0" applyNumberFormat="1" applyFont="1" applyBorder="1" applyAlignment="1">
      <alignment horizontal="center" vertical="center"/>
    </xf>
    <xf numFmtId="41" fontId="32" fillId="0" borderId="11" xfId="0" applyNumberFormat="1" applyFont="1" applyBorder="1" applyAlignment="1">
      <alignment horizontal="center" vertical="center"/>
    </xf>
    <xf numFmtId="176" fontId="32" fillId="0" borderId="11" xfId="2" applyNumberFormat="1" applyFont="1" applyBorder="1" applyAlignment="1">
      <alignment horizontal="center" vertical="center"/>
    </xf>
    <xf numFmtId="41" fontId="32" fillId="0" borderId="11" xfId="1" applyFont="1" applyBorder="1" applyAlignment="1">
      <alignment horizontal="center" vertical="center"/>
    </xf>
    <xf numFmtId="43" fontId="32" fillId="0" borderId="11" xfId="0" applyNumberFormat="1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 wrapText="1"/>
    </xf>
    <xf numFmtId="41" fontId="25" fillId="3" borderId="2" xfId="1" applyFont="1" applyFill="1" applyBorder="1" applyAlignment="1">
      <alignment horizontal="right" vertical="center" wrapText="1"/>
    </xf>
    <xf numFmtId="41" fontId="26" fillId="3" borderId="2" xfId="1" applyFont="1" applyFill="1" applyBorder="1" applyAlignment="1">
      <alignment horizontal="right" vertical="center" wrapText="1"/>
    </xf>
    <xf numFmtId="3" fontId="33" fillId="5" borderId="2" xfId="0" applyNumberFormat="1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center" vertical="center" wrapText="1"/>
    </xf>
    <xf numFmtId="3" fontId="16" fillId="5" borderId="2" xfId="0" applyNumberFormat="1" applyFont="1" applyFill="1" applyBorder="1" applyAlignment="1">
      <alignment horizontal="right" vertical="center" wrapText="1"/>
    </xf>
    <xf numFmtId="41" fontId="26" fillId="4" borderId="2" xfId="1" applyFont="1" applyFill="1" applyBorder="1" applyAlignment="1">
      <alignment horizontal="right" vertical="center" wrapText="1"/>
    </xf>
    <xf numFmtId="3" fontId="33" fillId="4" borderId="2" xfId="0" applyNumberFormat="1" applyFont="1" applyFill="1" applyBorder="1" applyAlignment="1">
      <alignment horizontal="right" vertical="center" wrapText="1"/>
    </xf>
    <xf numFmtId="3" fontId="16" fillId="4" borderId="2" xfId="0" applyNumberFormat="1" applyFont="1" applyFill="1" applyBorder="1" applyAlignment="1">
      <alignment horizontal="right" vertical="center" wrapText="1"/>
    </xf>
    <xf numFmtId="0" fontId="32" fillId="0" borderId="10" xfId="0" applyFont="1" applyBorder="1" applyAlignment="1">
      <alignment horizontal="center" vertical="center"/>
    </xf>
    <xf numFmtId="3" fontId="32" fillId="0" borderId="10" xfId="0" applyNumberFormat="1" applyFont="1" applyBorder="1" applyAlignment="1">
      <alignment horizontal="center" vertical="center"/>
    </xf>
    <xf numFmtId="41" fontId="32" fillId="0" borderId="10" xfId="0" applyNumberFormat="1" applyFont="1" applyBorder="1" applyAlignment="1">
      <alignment horizontal="center" vertical="center"/>
    </xf>
    <xf numFmtId="176" fontId="32" fillId="0" borderId="10" xfId="2" applyNumberFormat="1" applyFont="1" applyBorder="1" applyAlignment="1">
      <alignment horizontal="center" vertical="center"/>
    </xf>
    <xf numFmtId="41" fontId="32" fillId="0" borderId="10" xfId="1" applyFont="1" applyBorder="1" applyAlignment="1">
      <alignment horizontal="center" vertical="center"/>
    </xf>
    <xf numFmtId="43" fontId="32" fillId="0" borderId="10" xfId="0" applyNumberFormat="1" applyFont="1" applyBorder="1" applyAlignment="1">
      <alignment horizontal="center" vertical="center"/>
    </xf>
    <xf numFmtId="41" fontId="18" fillId="0" borderId="2" xfId="1" applyFont="1" applyBorder="1" applyAlignment="1">
      <alignment horizontal="center" vertical="center"/>
    </xf>
    <xf numFmtId="176" fontId="18" fillId="0" borderId="2" xfId="2" applyNumberFormat="1" applyFont="1" applyBorder="1" applyAlignment="1">
      <alignment horizontal="center" vertical="center"/>
    </xf>
    <xf numFmtId="177" fontId="10" fillId="4" borderId="20" xfId="0" applyNumberFormat="1" applyFont="1" applyFill="1" applyBorder="1" applyAlignment="1">
      <alignment horizontal="left" vertical="center"/>
    </xf>
    <xf numFmtId="177" fontId="17" fillId="4" borderId="15" xfId="0" applyNumberFormat="1" applyFont="1" applyFill="1" applyBorder="1" applyAlignment="1">
      <alignment horizontal="left" vertical="center"/>
    </xf>
    <xf numFmtId="177" fontId="10" fillId="4" borderId="15" xfId="0" applyNumberFormat="1" applyFont="1" applyFill="1" applyBorder="1" applyAlignment="1">
      <alignment horizontal="left" vertical="center"/>
    </xf>
    <xf numFmtId="0" fontId="17" fillId="4" borderId="15" xfId="0" quotePrefix="1" applyFont="1" applyFill="1" applyBorder="1" applyAlignment="1">
      <alignment horizontal="left" vertical="center"/>
    </xf>
    <xf numFmtId="0" fontId="7" fillId="4" borderId="15" xfId="0" applyFont="1" applyFill="1" applyBorder="1" applyAlignment="1">
      <alignment horizontal="left" vertical="center"/>
    </xf>
    <xf numFmtId="0" fontId="9" fillId="4" borderId="15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left" vertical="center"/>
    </xf>
    <xf numFmtId="41" fontId="9" fillId="3" borderId="4" xfId="1" applyFont="1" applyFill="1" applyBorder="1" applyAlignment="1">
      <alignment horizontal="center" vertical="center"/>
    </xf>
    <xf numFmtId="41" fontId="9" fillId="3" borderId="3" xfId="1" applyFont="1" applyFill="1" applyBorder="1" applyAlignment="1">
      <alignment horizontal="center" vertical="center"/>
    </xf>
    <xf numFmtId="41" fontId="9" fillId="3" borderId="5" xfId="1" applyFont="1" applyFill="1" applyBorder="1" applyAlignment="1">
      <alignment horizontal="center" vertical="center"/>
    </xf>
    <xf numFmtId="41" fontId="11" fillId="2" borderId="2" xfId="1" applyFont="1" applyFill="1" applyBorder="1" applyAlignment="1">
      <alignment horizontal="center" vertical="center"/>
    </xf>
    <xf numFmtId="177" fontId="9" fillId="0" borderId="31" xfId="1" applyNumberFormat="1" applyFont="1" applyBorder="1" applyAlignment="1">
      <alignment horizontal="center" vertical="center"/>
    </xf>
    <xf numFmtId="41" fontId="7" fillId="6" borderId="31" xfId="1" applyFont="1" applyFill="1" applyBorder="1" applyAlignment="1">
      <alignment horizontal="center" vertical="center"/>
    </xf>
    <xf numFmtId="41" fontId="9" fillId="0" borderId="31" xfId="1" applyFont="1" applyBorder="1" applyAlignment="1">
      <alignment horizontal="center" vertical="center"/>
    </xf>
    <xf numFmtId="41" fontId="9" fillId="3" borderId="31" xfId="1" applyFont="1" applyFill="1" applyBorder="1" applyAlignment="1">
      <alignment horizontal="right" vertical="center"/>
    </xf>
    <xf numFmtId="41" fontId="9" fillId="3" borderId="31" xfId="1" applyFont="1" applyFill="1" applyBorder="1" applyAlignment="1">
      <alignment horizontal="center" vertical="center"/>
    </xf>
    <xf numFmtId="41" fontId="9" fillId="3" borderId="3" xfId="1" applyFont="1" applyFill="1" applyBorder="1" applyAlignment="1">
      <alignment horizontal="right" vertical="center"/>
    </xf>
    <xf numFmtId="177" fontId="9" fillId="0" borderId="32" xfId="1" applyNumberFormat="1" applyFont="1" applyBorder="1" applyAlignment="1">
      <alignment horizontal="center" vertical="center"/>
    </xf>
    <xf numFmtId="41" fontId="7" fillId="6" borderId="32" xfId="1" applyFont="1" applyFill="1" applyBorder="1" applyAlignment="1">
      <alignment horizontal="center" vertical="center"/>
    </xf>
    <xf numFmtId="41" fontId="9" fillId="0" borderId="32" xfId="1" applyFont="1" applyBorder="1" applyAlignment="1">
      <alignment horizontal="center" vertical="center"/>
    </xf>
    <xf numFmtId="41" fontId="9" fillId="3" borderId="32" xfId="1" applyFont="1" applyFill="1" applyBorder="1" applyAlignment="1">
      <alignment horizontal="center" vertical="center"/>
    </xf>
    <xf numFmtId="0" fontId="10" fillId="7" borderId="0" xfId="0" applyFont="1" applyFill="1" applyAlignment="1">
      <alignment horizontal="left" vertical="center"/>
    </xf>
    <xf numFmtId="177" fontId="17" fillId="7" borderId="0" xfId="0" applyNumberFormat="1" applyFont="1" applyFill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41" fontId="7" fillId="6" borderId="12" xfId="1" applyFont="1" applyFill="1" applyBorder="1" applyAlignment="1">
      <alignment horizontal="center" vertical="center"/>
    </xf>
    <xf numFmtId="41" fontId="9" fillId="3" borderId="12" xfId="1" applyFont="1" applyFill="1" applyBorder="1" applyAlignment="1">
      <alignment horizontal="right" vertical="center"/>
    </xf>
    <xf numFmtId="41" fontId="9" fillId="3" borderId="5" xfId="1" applyFont="1" applyFill="1" applyBorder="1" applyAlignment="1">
      <alignment horizontal="center" vertical="center"/>
    </xf>
    <xf numFmtId="41" fontId="34" fillId="0" borderId="7" xfId="1" applyFont="1" applyBorder="1" applyAlignment="1">
      <alignment horizontal="center" vertical="center"/>
    </xf>
    <xf numFmtId="41" fontId="25" fillId="3" borderId="2" xfId="1" applyFont="1" applyFill="1" applyBorder="1" applyAlignment="1">
      <alignment horizontal="center" vertical="center" wrapText="1"/>
    </xf>
    <xf numFmtId="41" fontId="26" fillId="4" borderId="2" xfId="1" applyFont="1" applyFill="1" applyBorder="1" applyAlignment="1">
      <alignment horizontal="center" vertical="center" wrapText="1"/>
    </xf>
    <xf numFmtId="3" fontId="21" fillId="5" borderId="2" xfId="0" applyNumberFormat="1" applyFont="1" applyFill="1" applyBorder="1" applyAlignment="1">
      <alignment horizontal="center" vertical="center" wrapText="1"/>
    </xf>
    <xf numFmtId="3" fontId="33" fillId="4" borderId="2" xfId="0" applyNumberFormat="1" applyFont="1" applyFill="1" applyBorder="1" applyAlignment="1">
      <alignment horizontal="center" vertical="center" wrapText="1"/>
    </xf>
    <xf numFmtId="3" fontId="8" fillId="5" borderId="2" xfId="0" applyNumberFormat="1" applyFont="1" applyFill="1" applyBorder="1" applyAlignment="1">
      <alignment horizontal="center" vertical="center" wrapText="1"/>
    </xf>
    <xf numFmtId="3" fontId="16" fillId="4" borderId="2" xfId="0" applyNumberFormat="1" applyFont="1" applyFill="1" applyBorder="1" applyAlignment="1">
      <alignment horizontal="center" vertical="center" wrapText="1"/>
    </xf>
    <xf numFmtId="41" fontId="9" fillId="0" borderId="10" xfId="1" applyFont="1" applyBorder="1" applyAlignment="1">
      <alignment horizontal="center" vertical="center"/>
    </xf>
    <xf numFmtId="41" fontId="26" fillId="3" borderId="2" xfId="1" applyFont="1" applyFill="1" applyBorder="1" applyAlignment="1">
      <alignment horizontal="center" vertical="center" wrapText="1"/>
    </xf>
    <xf numFmtId="3" fontId="33" fillId="5" borderId="2" xfId="0" applyNumberFormat="1" applyFont="1" applyFill="1" applyBorder="1" applyAlignment="1">
      <alignment horizontal="center" vertical="center" wrapText="1"/>
    </xf>
    <xf numFmtId="3" fontId="16" fillId="5" borderId="2" xfId="0" applyNumberFormat="1" applyFont="1" applyFill="1" applyBorder="1" applyAlignment="1">
      <alignment horizontal="center" vertical="center" wrapText="1"/>
    </xf>
    <xf numFmtId="41" fontId="34" fillId="3" borderId="7" xfId="1" applyFont="1" applyFill="1" applyBorder="1" applyAlignment="1">
      <alignment horizontal="left" vertical="center"/>
    </xf>
    <xf numFmtId="41" fontId="9" fillId="3" borderId="7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9" fontId="9" fillId="0" borderId="6" xfId="0" applyNumberFormat="1" applyFont="1" applyBorder="1" applyAlignment="1">
      <alignment horizontal="center" vertical="center"/>
    </xf>
    <xf numFmtId="41" fontId="9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3" fontId="7" fillId="5" borderId="0" xfId="0" applyNumberFormat="1" applyFont="1" applyFill="1" applyAlignment="1">
      <alignment horizontal="center" vertical="center" wrapText="1"/>
    </xf>
    <xf numFmtId="3" fontId="7" fillId="5" borderId="2" xfId="0" applyNumberFormat="1" applyFont="1" applyFill="1" applyBorder="1" applyAlignment="1">
      <alignment horizontal="center" vertical="center" wrapText="1"/>
    </xf>
    <xf numFmtId="3" fontId="24" fillId="5" borderId="2" xfId="0" applyNumberFormat="1" applyFont="1" applyFill="1" applyBorder="1" applyAlignment="1">
      <alignment horizontal="center" vertical="center" wrapText="1"/>
    </xf>
    <xf numFmtId="3" fontId="24" fillId="5" borderId="0" xfId="0" applyNumberFormat="1" applyFont="1" applyFill="1" applyAlignment="1">
      <alignment horizontal="center" vertical="center" wrapText="1"/>
    </xf>
    <xf numFmtId="41" fontId="9" fillId="0" borderId="7" xfId="0" applyNumberFormat="1" applyFont="1" applyBorder="1" applyAlignment="1">
      <alignment horizontal="center" vertical="center"/>
    </xf>
    <xf numFmtId="41" fontId="36" fillId="3" borderId="2" xfId="1" applyFont="1" applyFill="1" applyBorder="1" applyAlignment="1">
      <alignment horizontal="center" vertical="center"/>
    </xf>
    <xf numFmtId="41" fontId="37" fillId="3" borderId="2" xfId="1" applyFont="1" applyFill="1" applyBorder="1" applyAlignment="1">
      <alignment horizontal="center" vertical="center"/>
    </xf>
    <xf numFmtId="41" fontId="38" fillId="4" borderId="2" xfId="1" applyFont="1" applyFill="1" applyBorder="1" applyAlignment="1">
      <alignment horizontal="center" vertical="center"/>
    </xf>
    <xf numFmtId="41" fontId="36" fillId="0" borderId="2" xfId="0" applyNumberFormat="1" applyFont="1" applyBorder="1" applyAlignment="1">
      <alignment horizontal="center" vertical="center"/>
    </xf>
    <xf numFmtId="41" fontId="9" fillId="3" borderId="2" xfId="1" applyFont="1" applyFill="1" applyBorder="1" applyAlignment="1">
      <alignment horizontal="center" vertical="center" wrapText="1"/>
    </xf>
    <xf numFmtId="41" fontId="11" fillId="3" borderId="2" xfId="1" applyFont="1" applyFill="1" applyBorder="1" applyAlignment="1">
      <alignment horizontal="center" vertical="center" wrapText="1"/>
    </xf>
    <xf numFmtId="41" fontId="35" fillId="3" borderId="7" xfId="1" applyFont="1" applyFill="1" applyBorder="1" applyAlignment="1">
      <alignment horizontal="left" vertical="center"/>
    </xf>
    <xf numFmtId="3" fontId="11" fillId="5" borderId="2" xfId="0" applyNumberFormat="1" applyFont="1" applyFill="1" applyBorder="1" applyAlignment="1">
      <alignment horizontal="center" vertical="center" wrapText="1"/>
    </xf>
    <xf numFmtId="3" fontId="9" fillId="5" borderId="2" xfId="0" applyNumberFormat="1" applyFont="1" applyFill="1" applyBorder="1" applyAlignment="1">
      <alignment horizontal="center" vertical="center" wrapText="1"/>
    </xf>
    <xf numFmtId="41" fontId="34" fillId="0" borderId="7" xfId="1" applyFont="1" applyBorder="1" applyAlignment="1">
      <alignment horizontal="left" vertical="center"/>
    </xf>
    <xf numFmtId="41" fontId="34" fillId="10" borderId="7" xfId="1" applyFont="1" applyFill="1" applyBorder="1" applyAlignment="1">
      <alignment horizontal="left" vertical="center"/>
    </xf>
    <xf numFmtId="41" fontId="9" fillId="10" borderId="7" xfId="1" applyFont="1" applyFill="1" applyBorder="1" applyAlignment="1">
      <alignment horizontal="left" vertical="center"/>
    </xf>
    <xf numFmtId="0" fontId="9" fillId="10" borderId="7" xfId="0" applyFont="1" applyFill="1" applyBorder="1" applyAlignment="1">
      <alignment horizontal="center" vertical="center"/>
    </xf>
    <xf numFmtId="3" fontId="7" fillId="5" borderId="0" xfId="0" applyNumberFormat="1" applyFont="1" applyFill="1" applyAlignment="1">
      <alignment horizontal="right" vertical="center" wrapText="1"/>
    </xf>
    <xf numFmtId="3" fontId="7" fillId="5" borderId="2" xfId="0" applyNumberFormat="1" applyFont="1" applyFill="1" applyBorder="1" applyAlignment="1">
      <alignment horizontal="right" vertical="center" wrapText="1"/>
    </xf>
    <xf numFmtId="3" fontId="24" fillId="5" borderId="2" xfId="0" applyNumberFormat="1" applyFont="1" applyFill="1" applyBorder="1" applyAlignment="1">
      <alignment horizontal="right" vertical="center" wrapText="1"/>
    </xf>
    <xf numFmtId="3" fontId="24" fillId="5" borderId="0" xfId="0" applyNumberFormat="1" applyFont="1" applyFill="1" applyAlignment="1">
      <alignment horizontal="right" vertical="center" wrapText="1"/>
    </xf>
    <xf numFmtId="41" fontId="36" fillId="3" borderId="2" xfId="1" applyFont="1" applyFill="1" applyBorder="1" applyAlignment="1">
      <alignment horizontal="right" vertical="center"/>
    </xf>
    <xf numFmtId="41" fontId="37" fillId="3" borderId="2" xfId="1" applyFont="1" applyFill="1" applyBorder="1" applyAlignment="1">
      <alignment horizontal="right" vertical="center"/>
    </xf>
    <xf numFmtId="41" fontId="38" fillId="4" borderId="2" xfId="1" applyFont="1" applyFill="1" applyBorder="1" applyAlignment="1">
      <alignment horizontal="right" vertical="center"/>
    </xf>
    <xf numFmtId="0" fontId="32" fillId="3" borderId="10" xfId="0" applyFont="1" applyFill="1" applyBorder="1" applyAlignment="1">
      <alignment horizontal="center" vertical="center"/>
    </xf>
    <xf numFmtId="3" fontId="32" fillId="3" borderId="10" xfId="0" applyNumberFormat="1" applyFont="1" applyFill="1" applyBorder="1" applyAlignment="1">
      <alignment horizontal="center" vertical="center"/>
    </xf>
    <xf numFmtId="41" fontId="31" fillId="3" borderId="2" xfId="1" applyFont="1" applyFill="1" applyBorder="1" applyAlignment="1">
      <alignment horizontal="center" vertical="center"/>
    </xf>
    <xf numFmtId="41" fontId="31" fillId="4" borderId="2" xfId="1" applyFont="1" applyFill="1" applyBorder="1" applyAlignment="1">
      <alignment horizontal="right" vertical="center"/>
    </xf>
    <xf numFmtId="41" fontId="8" fillId="0" borderId="2" xfId="0" applyNumberFormat="1" applyFont="1" applyBorder="1" applyAlignment="1">
      <alignment horizontal="center" vertical="center"/>
    </xf>
    <xf numFmtId="41" fontId="35" fillId="0" borderId="7" xfId="1" applyFont="1" applyBorder="1" applyAlignment="1">
      <alignment horizontal="left" vertical="center"/>
    </xf>
    <xf numFmtId="3" fontId="9" fillId="5" borderId="2" xfId="0" applyNumberFormat="1" applyFont="1" applyFill="1" applyBorder="1" applyAlignment="1">
      <alignment horizontal="right" vertical="center" wrapText="1"/>
    </xf>
    <xf numFmtId="41" fontId="34" fillId="0" borderId="10" xfId="1" applyFont="1" applyBorder="1" applyAlignment="1">
      <alignment horizontal="left" vertical="center"/>
    </xf>
    <xf numFmtId="0" fontId="10" fillId="11" borderId="15" xfId="0" applyFont="1" applyFill="1" applyBorder="1" applyAlignment="1">
      <alignment horizontal="center" vertical="center"/>
    </xf>
    <xf numFmtId="41" fontId="9" fillId="3" borderId="7" xfId="1" applyFont="1" applyFill="1" applyBorder="1" applyAlignment="1">
      <alignment horizontal="left" vertical="center"/>
    </xf>
    <xf numFmtId="177" fontId="9" fillId="0" borderId="2" xfId="0" applyNumberFormat="1" applyFont="1" applyBorder="1" applyAlignment="1">
      <alignment horizontal="center" vertical="center"/>
    </xf>
    <xf numFmtId="3" fontId="21" fillId="12" borderId="2" xfId="0" applyNumberFormat="1" applyFont="1" applyFill="1" applyBorder="1" applyAlignment="1">
      <alignment horizontal="center" vertical="center" wrapText="1"/>
    </xf>
    <xf numFmtId="0" fontId="21" fillId="12" borderId="2" xfId="0" applyFont="1" applyFill="1" applyBorder="1" applyAlignment="1">
      <alignment horizontal="center" vertical="center" wrapText="1"/>
    </xf>
    <xf numFmtId="3" fontId="21" fillId="12" borderId="2" xfId="0" applyNumberFormat="1" applyFont="1" applyFill="1" applyBorder="1" applyAlignment="1">
      <alignment horizontal="right" vertical="center" wrapText="1"/>
    </xf>
    <xf numFmtId="41" fontId="8" fillId="12" borderId="2" xfId="1" applyFont="1" applyFill="1" applyBorder="1" applyAlignment="1">
      <alignment horizontal="center" vertical="center"/>
    </xf>
    <xf numFmtId="41" fontId="8" fillId="12" borderId="2" xfId="1" applyFont="1" applyFill="1" applyBorder="1" applyAlignment="1">
      <alignment horizontal="right" vertical="center"/>
    </xf>
    <xf numFmtId="41" fontId="8" fillId="12" borderId="2" xfId="0" applyNumberFormat="1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 wrapText="1"/>
    </xf>
    <xf numFmtId="41" fontId="18" fillId="3" borderId="2" xfId="1" applyFont="1" applyFill="1" applyBorder="1" applyAlignment="1">
      <alignment horizontal="center" vertical="center" wrapText="1"/>
    </xf>
    <xf numFmtId="41" fontId="11" fillId="3" borderId="7" xfId="1" applyFont="1" applyFill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41" fontId="8" fillId="0" borderId="2" xfId="1" applyFont="1" applyBorder="1" applyAlignment="1">
      <alignment horizontal="center" vertical="center"/>
    </xf>
    <xf numFmtId="0" fontId="39" fillId="0" borderId="2" xfId="0" quotePrefix="1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41" fontId="40" fillId="3" borderId="5" xfId="1" applyFont="1" applyFill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41" fontId="9" fillId="12" borderId="2" xfId="1" applyFont="1" applyFill="1" applyBorder="1" applyAlignment="1">
      <alignment horizontal="center" vertical="center" wrapText="1"/>
    </xf>
    <xf numFmtId="0" fontId="9" fillId="12" borderId="13" xfId="0" applyFont="1" applyFill="1" applyBorder="1" applyAlignment="1">
      <alignment horizontal="center" vertical="center"/>
    </xf>
    <xf numFmtId="41" fontId="40" fillId="0" borderId="2" xfId="1" applyFont="1" applyBorder="1" applyAlignment="1">
      <alignment horizontal="center" vertical="center"/>
    </xf>
    <xf numFmtId="41" fontId="9" fillId="3" borderId="5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8" borderId="20" xfId="0" applyFont="1" applyFill="1" applyBorder="1" applyAlignment="1">
      <alignment horizontal="left" vertical="center"/>
    </xf>
    <xf numFmtId="0" fontId="9" fillId="8" borderId="19" xfId="0" applyFont="1" applyFill="1" applyBorder="1" applyAlignment="1">
      <alignment horizontal="left" vertical="center"/>
    </xf>
    <xf numFmtId="0" fontId="9" fillId="7" borderId="19" xfId="0" applyFont="1" applyFill="1" applyBorder="1" applyAlignment="1">
      <alignment horizontal="left" vertical="center"/>
    </xf>
    <xf numFmtId="0" fontId="9" fillId="8" borderId="0" xfId="0" applyFont="1" applyFill="1">
      <alignment vertical="center"/>
    </xf>
    <xf numFmtId="0" fontId="9" fillId="7" borderId="0" xfId="0" applyFont="1" applyFill="1">
      <alignment vertical="center"/>
    </xf>
    <xf numFmtId="0" fontId="9" fillId="8" borderId="24" xfId="0" applyFont="1" applyFill="1" applyBorder="1" applyAlignment="1">
      <alignment horizontal="left" vertical="center"/>
    </xf>
    <xf numFmtId="0" fontId="43" fillId="0" borderId="15" xfId="7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41" fontId="9" fillId="12" borderId="2" xfId="1" applyFont="1" applyFill="1" applyBorder="1" applyAlignment="1">
      <alignment horizontal="center" vertical="center"/>
    </xf>
    <xf numFmtId="41" fontId="8" fillId="6" borderId="2" xfId="1" applyFont="1" applyFill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41" fontId="44" fillId="0" borderId="2" xfId="1" applyFont="1" applyBorder="1" applyAlignment="1">
      <alignment horizontal="center" vertical="center"/>
    </xf>
    <xf numFmtId="41" fontId="9" fillId="0" borderId="9" xfId="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6" fillId="0" borderId="0" xfId="0" applyFont="1">
      <alignment vertical="center"/>
    </xf>
    <xf numFmtId="41" fontId="7" fillId="0" borderId="2" xfId="1" applyFont="1" applyBorder="1" applyAlignment="1">
      <alignment horizontal="right" vertical="center"/>
    </xf>
    <xf numFmtId="177" fontId="9" fillId="0" borderId="5" xfId="0" applyNumberFormat="1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0" fillId="0" borderId="35" xfId="0" applyFont="1" applyBorder="1" applyAlignment="1">
      <alignment horizontal="left" vertical="center"/>
    </xf>
    <xf numFmtId="177" fontId="10" fillId="8" borderId="36" xfId="0" applyNumberFormat="1" applyFont="1" applyFill="1" applyBorder="1" applyAlignment="1">
      <alignment horizontal="left" vertical="center"/>
    </xf>
    <xf numFmtId="177" fontId="17" fillId="0" borderId="20" xfId="0" applyNumberFormat="1" applyFont="1" applyBorder="1" applyAlignment="1">
      <alignment horizontal="left" vertical="center"/>
    </xf>
    <xf numFmtId="0" fontId="17" fillId="0" borderId="20" xfId="0" quotePrefix="1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41" fontId="40" fillId="0" borderId="5" xfId="1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9" fillId="0" borderId="41" xfId="0" applyFont="1" applyBorder="1" applyAlignment="1">
      <alignment horizontal="center" vertical="center" wrapText="1" readingOrder="1"/>
    </xf>
    <xf numFmtId="3" fontId="49" fillId="0" borderId="41" xfId="0" applyNumberFormat="1" applyFont="1" applyBorder="1" applyAlignment="1">
      <alignment horizontal="center" vertical="center" wrapText="1" readingOrder="1"/>
    </xf>
    <xf numFmtId="0" fontId="50" fillId="0" borderId="41" xfId="0" applyFont="1" applyBorder="1" applyAlignment="1">
      <alignment horizontal="center" vertical="center" wrapText="1" readingOrder="1"/>
    </xf>
    <xf numFmtId="3" fontId="50" fillId="0" borderId="41" xfId="0" applyNumberFormat="1" applyFont="1" applyBorder="1" applyAlignment="1">
      <alignment horizontal="center" vertical="center" wrapText="1" readingOrder="1"/>
    </xf>
    <xf numFmtId="176" fontId="9" fillId="5" borderId="2" xfId="2" applyNumberFormat="1" applyFont="1" applyFill="1" applyBorder="1" applyAlignment="1">
      <alignment horizontal="center" vertical="center" wrapText="1"/>
    </xf>
    <xf numFmtId="176" fontId="9" fillId="3" borderId="2" xfId="2" applyNumberFormat="1" applyFont="1" applyFill="1" applyBorder="1" applyAlignment="1">
      <alignment horizontal="center" vertical="center" wrapText="1"/>
    </xf>
    <xf numFmtId="176" fontId="48" fillId="3" borderId="2" xfId="2" applyNumberFormat="1" applyFont="1" applyFill="1" applyBorder="1" applyAlignment="1">
      <alignment horizontal="center" vertical="center" wrapText="1"/>
    </xf>
    <xf numFmtId="176" fontId="48" fillId="5" borderId="2" xfId="2" applyNumberFormat="1" applyFont="1" applyFill="1" applyBorder="1" applyAlignment="1">
      <alignment horizontal="center" vertical="center" wrapText="1"/>
    </xf>
    <xf numFmtId="41" fontId="9" fillId="0" borderId="5" xfId="0" applyNumberFormat="1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 wrapText="1"/>
    </xf>
    <xf numFmtId="178" fontId="10" fillId="0" borderId="7" xfId="0" applyNumberFormat="1" applyFont="1" applyBorder="1" applyAlignment="1">
      <alignment horizontal="left" vertical="center"/>
    </xf>
    <xf numFmtId="178" fontId="10" fillId="0" borderId="6" xfId="0" applyNumberFormat="1" applyFont="1" applyBorder="1" applyAlignment="1">
      <alignment horizontal="left" vertical="center"/>
    </xf>
    <xf numFmtId="178" fontId="11" fillId="12" borderId="15" xfId="0" applyNumberFormat="1" applyFont="1" applyFill="1" applyBorder="1" applyAlignment="1">
      <alignment horizontal="center" vertical="center"/>
    </xf>
    <xf numFmtId="178" fontId="10" fillId="8" borderId="20" xfId="0" applyNumberFormat="1" applyFont="1" applyFill="1" applyBorder="1" applyAlignment="1">
      <alignment horizontal="left" vertical="center"/>
    </xf>
    <xf numFmtId="178" fontId="10" fillId="8" borderId="15" xfId="0" applyNumberFormat="1" applyFont="1" applyFill="1" applyBorder="1" applyAlignment="1">
      <alignment horizontal="left" vertical="center"/>
    </xf>
    <xf numFmtId="178" fontId="10" fillId="7" borderId="15" xfId="0" applyNumberFormat="1" applyFont="1" applyFill="1" applyBorder="1" applyAlignment="1">
      <alignment horizontal="left" vertical="center"/>
    </xf>
    <xf numFmtId="178" fontId="23" fillId="8" borderId="0" xfId="0" applyNumberFormat="1" applyFont="1" applyFill="1">
      <alignment vertical="center"/>
    </xf>
    <xf numFmtId="178" fontId="10" fillId="8" borderId="19" xfId="0" applyNumberFormat="1" applyFont="1" applyFill="1" applyBorder="1" applyAlignment="1">
      <alignment horizontal="left" vertical="center"/>
    </xf>
    <xf numFmtId="178" fontId="10" fillId="7" borderId="0" xfId="0" applyNumberFormat="1" applyFont="1" applyFill="1" applyAlignment="1">
      <alignment horizontal="left" vertical="center"/>
    </xf>
    <xf numFmtId="178" fontId="10" fillId="0" borderId="15" xfId="0" applyNumberFormat="1" applyFont="1" applyBorder="1" applyAlignment="1">
      <alignment horizontal="left" vertical="center"/>
    </xf>
    <xf numFmtId="178" fontId="7" fillId="8" borderId="15" xfId="0" applyNumberFormat="1" applyFont="1" applyFill="1" applyBorder="1" applyAlignment="1">
      <alignment horizontal="left" vertical="center"/>
    </xf>
    <xf numFmtId="178" fontId="10" fillId="7" borderId="19" xfId="0" applyNumberFormat="1" applyFont="1" applyFill="1" applyBorder="1" applyAlignment="1">
      <alignment horizontal="left" vertical="center"/>
    </xf>
    <xf numFmtId="178" fontId="10" fillId="7" borderId="21" xfId="0" applyNumberFormat="1" applyFont="1" applyFill="1" applyBorder="1" applyAlignment="1">
      <alignment horizontal="left" vertical="center"/>
    </xf>
    <xf numFmtId="178" fontId="7" fillId="0" borderId="15" xfId="0" applyNumberFormat="1" applyFont="1" applyBorder="1" applyAlignment="1">
      <alignment horizontal="left" vertical="center"/>
    </xf>
    <xf numFmtId="178" fontId="9" fillId="8" borderId="15" xfId="0" applyNumberFormat="1" applyFont="1" applyFill="1" applyBorder="1" applyAlignment="1">
      <alignment horizontal="left" vertical="center"/>
    </xf>
    <xf numFmtId="178" fontId="10" fillId="8" borderId="24" xfId="0" applyNumberFormat="1" applyFont="1" applyFill="1" applyBorder="1" applyAlignment="1">
      <alignment horizontal="left" vertical="center"/>
    </xf>
    <xf numFmtId="178" fontId="9" fillId="7" borderId="15" xfId="0" applyNumberFormat="1" applyFont="1" applyFill="1" applyBorder="1" applyAlignment="1">
      <alignment horizontal="left" vertical="center"/>
    </xf>
    <xf numFmtId="178" fontId="7" fillId="6" borderId="15" xfId="0" applyNumberFormat="1" applyFont="1" applyFill="1" applyBorder="1" applyAlignment="1">
      <alignment horizontal="left" vertical="center"/>
    </xf>
    <xf numFmtId="178" fontId="7" fillId="7" borderId="15" xfId="0" applyNumberFormat="1" applyFont="1" applyFill="1" applyBorder="1" applyAlignment="1">
      <alignment horizontal="left" vertical="center"/>
    </xf>
    <xf numFmtId="178" fontId="27" fillId="8" borderId="0" xfId="0" applyNumberFormat="1" applyFont="1" applyFill="1">
      <alignment vertical="center"/>
    </xf>
    <xf numFmtId="178" fontId="9" fillId="0" borderId="15" xfId="0" applyNumberFormat="1" applyFont="1" applyBorder="1" applyAlignment="1">
      <alignment horizontal="left" vertical="center"/>
    </xf>
    <xf numFmtId="178" fontId="7" fillId="3" borderId="15" xfId="0" applyNumberFormat="1" applyFont="1" applyFill="1" applyBorder="1" applyAlignment="1">
      <alignment horizontal="left" vertical="center"/>
    </xf>
    <xf numFmtId="178" fontId="7" fillId="4" borderId="15" xfId="0" applyNumberFormat="1" applyFont="1" applyFill="1" applyBorder="1" applyAlignment="1">
      <alignment horizontal="left" vertical="center"/>
    </xf>
    <xf numFmtId="178" fontId="7" fillId="9" borderId="15" xfId="0" applyNumberFormat="1" applyFont="1" applyFill="1" applyBorder="1" applyAlignment="1">
      <alignment horizontal="left" vertical="center"/>
    </xf>
    <xf numFmtId="178" fontId="7" fillId="0" borderId="20" xfId="0" applyNumberFormat="1" applyFont="1" applyBorder="1" applyAlignment="1">
      <alignment horizontal="left" vertical="center"/>
    </xf>
    <xf numFmtId="177" fontId="17" fillId="3" borderId="20" xfId="0" applyNumberFormat="1" applyFont="1" applyFill="1" applyBorder="1" applyAlignment="1">
      <alignment horizontal="left" vertical="center"/>
    </xf>
    <xf numFmtId="0" fontId="17" fillId="3" borderId="20" xfId="0" quotePrefix="1" applyFont="1" applyFill="1" applyBorder="1" applyAlignment="1">
      <alignment horizontal="left" vertical="center"/>
    </xf>
    <xf numFmtId="0" fontId="7" fillId="3" borderId="20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17" fillId="8" borderId="20" xfId="0" quotePrefix="1" applyFont="1" applyFill="1" applyBorder="1" applyAlignment="1">
      <alignment horizontal="left" vertical="center"/>
    </xf>
    <xf numFmtId="178" fontId="7" fillId="8" borderId="20" xfId="0" applyNumberFormat="1" applyFont="1" applyFill="1" applyBorder="1" applyAlignment="1">
      <alignment horizontal="left" vertical="center"/>
    </xf>
    <xf numFmtId="0" fontId="8" fillId="8" borderId="20" xfId="0" applyFont="1" applyFill="1" applyBorder="1" applyAlignment="1">
      <alignment horizontal="left" vertical="center"/>
    </xf>
    <xf numFmtId="177" fontId="10" fillId="0" borderId="37" xfId="0" applyNumberFormat="1" applyFont="1" applyBorder="1" applyAlignment="1">
      <alignment horizontal="left" vertical="center"/>
    </xf>
    <xf numFmtId="177" fontId="17" fillId="0" borderId="37" xfId="0" applyNumberFormat="1" applyFont="1" applyBorder="1" applyAlignment="1">
      <alignment horizontal="left" vertical="center"/>
    </xf>
    <xf numFmtId="0" fontId="17" fillId="0" borderId="37" xfId="0" quotePrefix="1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178" fontId="7" fillId="0" borderId="37" xfId="0" applyNumberFormat="1" applyFont="1" applyBorder="1" applyAlignment="1">
      <alignment horizontal="left" vertical="center"/>
    </xf>
    <xf numFmtId="0" fontId="43" fillId="0" borderId="37" xfId="7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177" fontId="17" fillId="3" borderId="15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9" borderId="15" xfId="0" quotePrefix="1" applyFont="1" applyFill="1" applyBorder="1" applyAlignment="1">
      <alignment horizontal="left" vertical="center"/>
    </xf>
    <xf numFmtId="0" fontId="9" fillId="12" borderId="13" xfId="0" applyFont="1" applyFill="1" applyBorder="1" applyAlignment="1">
      <alignment horizontal="center" vertical="center" wrapText="1"/>
    </xf>
    <xf numFmtId="176" fontId="48" fillId="12" borderId="13" xfId="2" applyNumberFormat="1" applyFont="1" applyFill="1" applyBorder="1" applyAlignment="1">
      <alignment horizontal="center" vertical="center" wrapText="1"/>
    </xf>
    <xf numFmtId="41" fontId="18" fillId="12" borderId="13" xfId="1" applyFont="1" applyFill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/>
    </xf>
    <xf numFmtId="176" fontId="9" fillId="0" borderId="42" xfId="2" applyNumberFormat="1" applyFont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3" fontId="9" fillId="3" borderId="2" xfId="1" applyNumberFormat="1" applyFont="1" applyFill="1" applyBorder="1" applyAlignment="1">
      <alignment horizontal="center" vertical="center" wrapText="1"/>
    </xf>
    <xf numFmtId="3" fontId="9" fillId="12" borderId="13" xfId="1" applyNumberFormat="1" applyFont="1" applyFill="1" applyBorder="1" applyAlignment="1">
      <alignment horizontal="center" vertical="center" wrapText="1"/>
    </xf>
    <xf numFmtId="3" fontId="9" fillId="0" borderId="42" xfId="0" applyNumberFormat="1" applyFont="1" applyBorder="1" applyAlignment="1">
      <alignment horizontal="center" vertical="center"/>
    </xf>
    <xf numFmtId="3" fontId="8" fillId="3" borderId="2" xfId="1" applyNumberFormat="1" applyFont="1" applyFill="1" applyBorder="1" applyAlignment="1">
      <alignment horizontal="center" vertical="center" wrapText="1"/>
    </xf>
    <xf numFmtId="3" fontId="8" fillId="12" borderId="13" xfId="1" applyNumberFormat="1" applyFont="1" applyFill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/>
    </xf>
    <xf numFmtId="9" fontId="9" fillId="12" borderId="2" xfId="2" applyFont="1" applyFill="1" applyBorder="1" applyAlignment="1">
      <alignment horizontal="center" vertical="center"/>
    </xf>
    <xf numFmtId="9" fontId="25" fillId="12" borderId="2" xfId="2" applyFont="1" applyFill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177" fontId="10" fillId="0" borderId="36" xfId="0" applyNumberFormat="1" applyFont="1" applyBorder="1" applyAlignment="1">
      <alignment horizontal="left" vertical="center"/>
    </xf>
    <xf numFmtId="0" fontId="9" fillId="0" borderId="43" xfId="0" applyFont="1" applyBorder="1">
      <alignment vertical="center"/>
    </xf>
    <xf numFmtId="177" fontId="17" fillId="8" borderId="36" xfId="0" applyNumberFormat="1" applyFont="1" applyFill="1" applyBorder="1" applyAlignment="1">
      <alignment horizontal="left" vertical="center"/>
    </xf>
    <xf numFmtId="0" fontId="17" fillId="8" borderId="36" xfId="0" quotePrefix="1" applyFont="1" applyFill="1" applyBorder="1" applyAlignment="1">
      <alignment horizontal="left" vertical="center"/>
    </xf>
    <xf numFmtId="0" fontId="7" fillId="8" borderId="36" xfId="0" applyFont="1" applyFill="1" applyBorder="1" applyAlignment="1">
      <alignment horizontal="left" vertical="center"/>
    </xf>
    <xf numFmtId="178" fontId="7" fillId="8" borderId="36" xfId="0" applyNumberFormat="1" applyFont="1" applyFill="1" applyBorder="1" applyAlignment="1">
      <alignment horizontal="left" vertical="center"/>
    </xf>
    <xf numFmtId="0" fontId="9" fillId="8" borderId="36" xfId="0" applyFont="1" applyFill="1" applyBorder="1" applyAlignment="1">
      <alignment horizontal="left" vertical="center"/>
    </xf>
    <xf numFmtId="0" fontId="8" fillId="8" borderId="36" xfId="0" applyFont="1" applyFill="1" applyBorder="1" applyAlignment="1">
      <alignment horizontal="left" vertical="center"/>
    </xf>
    <xf numFmtId="0" fontId="10" fillId="0" borderId="44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41" fontId="51" fillId="0" borderId="0" xfId="1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179" fontId="51" fillId="0" borderId="0" xfId="0" applyNumberFormat="1" applyFont="1" applyAlignment="1">
      <alignment horizontal="left" vertical="center"/>
    </xf>
    <xf numFmtId="0" fontId="52" fillId="0" borderId="0" xfId="0" applyFont="1">
      <alignment vertical="center"/>
    </xf>
    <xf numFmtId="177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7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16" fillId="12" borderId="20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9" fillId="7" borderId="15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12" borderId="2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/>
    </xf>
    <xf numFmtId="0" fontId="8" fillId="0" borderId="13" xfId="0" quotePrefix="1" applyFont="1" applyBorder="1" applyAlignment="1">
      <alignment horizontal="left" vertical="center"/>
    </xf>
    <xf numFmtId="0" fontId="8" fillId="0" borderId="22" xfId="0" quotePrefix="1" applyFont="1" applyBorder="1" applyAlignment="1">
      <alignment horizontal="left" vertical="center"/>
    </xf>
    <xf numFmtId="0" fontId="8" fillId="0" borderId="1" xfId="0" quotePrefix="1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41" fontId="9" fillId="12" borderId="2" xfId="1" applyFont="1" applyFill="1" applyBorder="1" applyAlignment="1">
      <alignment horizontal="center" vertical="center"/>
    </xf>
    <xf numFmtId="0" fontId="30" fillId="12" borderId="19" xfId="0" applyFont="1" applyFill="1" applyBorder="1" applyAlignment="1">
      <alignment horizontal="center" vertical="center"/>
    </xf>
    <xf numFmtId="0" fontId="16" fillId="12" borderId="20" xfId="0" applyFont="1" applyFill="1" applyBorder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1" fillId="12" borderId="20" xfId="0" applyFont="1" applyFill="1" applyBorder="1" applyAlignment="1">
      <alignment horizontal="center" vertical="center"/>
    </xf>
    <xf numFmtId="0" fontId="19" fillId="12" borderId="18" xfId="0" applyFont="1" applyFill="1" applyBorder="1" applyAlignment="1">
      <alignment horizontal="center" vertical="center"/>
    </xf>
    <xf numFmtId="41" fontId="9" fillId="0" borderId="13" xfId="1" applyFont="1" applyBorder="1" applyAlignment="1">
      <alignment horizontal="center" vertical="center"/>
    </xf>
    <xf numFmtId="41" fontId="9" fillId="0" borderId="1" xfId="1" applyFont="1" applyBorder="1" applyAlignment="1">
      <alignment horizontal="center" vertical="center"/>
    </xf>
    <xf numFmtId="41" fontId="16" fillId="4" borderId="13" xfId="1" applyFont="1" applyFill="1" applyBorder="1" applyAlignment="1">
      <alignment horizontal="center" vertical="center"/>
    </xf>
    <xf numFmtId="41" fontId="16" fillId="4" borderId="22" xfId="1" applyFont="1" applyFill="1" applyBorder="1" applyAlignment="1">
      <alignment horizontal="center" vertical="center"/>
    </xf>
    <xf numFmtId="41" fontId="16" fillId="4" borderId="1" xfId="1" applyFont="1" applyFill="1" applyBorder="1" applyAlignment="1">
      <alignment horizontal="center" vertical="center"/>
    </xf>
    <xf numFmtId="41" fontId="11" fillId="4" borderId="13" xfId="1" applyFont="1" applyFill="1" applyBorder="1" applyAlignment="1">
      <alignment horizontal="center" vertical="center"/>
    </xf>
    <xf numFmtId="41" fontId="11" fillId="4" borderId="22" xfId="1" applyFont="1" applyFill="1" applyBorder="1" applyAlignment="1">
      <alignment horizontal="center" vertical="center"/>
    </xf>
    <xf numFmtId="41" fontId="11" fillId="4" borderId="1" xfId="1" applyFont="1" applyFill="1" applyBorder="1" applyAlignment="1">
      <alignment horizontal="center" vertical="center"/>
    </xf>
    <xf numFmtId="41" fontId="9" fillId="3" borderId="4" xfId="1" applyFont="1" applyFill="1" applyBorder="1" applyAlignment="1">
      <alignment horizontal="center" vertical="center"/>
    </xf>
    <xf numFmtId="41" fontId="9" fillId="3" borderId="3" xfId="1" applyFont="1" applyFill="1" applyBorder="1" applyAlignment="1">
      <alignment horizontal="center" vertical="center"/>
    </xf>
    <xf numFmtId="41" fontId="9" fillId="3" borderId="5" xfId="1" applyFont="1" applyFill="1" applyBorder="1" applyAlignment="1">
      <alignment horizontal="center" vertical="center"/>
    </xf>
    <xf numFmtId="41" fontId="11" fillId="2" borderId="13" xfId="1" applyFont="1" applyFill="1" applyBorder="1" applyAlignment="1">
      <alignment horizontal="center" vertical="center"/>
    </xf>
    <xf numFmtId="41" fontId="11" fillId="2" borderId="1" xfId="1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left" vertical="center"/>
    </xf>
    <xf numFmtId="0" fontId="7" fillId="3" borderId="15" xfId="0" quotePrefix="1" applyFont="1" applyFill="1" applyBorder="1" applyAlignment="1">
      <alignment horizontal="left" vertical="center"/>
    </xf>
  </cellXfs>
  <cellStyles count="8">
    <cellStyle name="백분율" xfId="2" builtinId="5"/>
    <cellStyle name="쉼표 [0]" xfId="1" builtinId="6"/>
    <cellStyle name="쉼표 [0] 2" xfId="4" xr:uid="{00000000-0005-0000-0000-000002000000}"/>
    <cellStyle name="쉼표 [0] 3" xfId="5" xr:uid="{00000000-0005-0000-0000-000003000000}"/>
    <cellStyle name="표준" xfId="0" builtinId="0"/>
    <cellStyle name="표준 2 3" xfId="6" xr:uid="{00000000-0005-0000-0000-000005000000}"/>
    <cellStyle name="표준 3" xfId="3" xr:uid="{00000000-0005-0000-0000-000006000000}"/>
    <cellStyle name="하이퍼링크" xfId="7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!!&#51064;&#49324;&#51312;&#51649;&#44288;&#47532;\25&#45380;&#54217;&#44032;\&#51221;&#47049;&#51201;_&#54016;&#50896;&#49457;&#44284;&#48516;&#49437;_251010.xlsx" TargetMode="External"/><Relationship Id="rId1" Type="http://schemas.openxmlformats.org/officeDocument/2006/relationships/externalLinkPath" Target="/Users/user/Desktop/!!&#51064;&#49324;&#51312;&#51649;&#44288;&#47532;/25&#45380;&#54217;&#44032;/&#51221;&#47049;&#51201;_&#54016;&#50896;&#49457;&#44284;&#48516;&#49437;_251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팀"/>
      <sheetName val="강동헌"/>
      <sheetName val="이종민"/>
      <sheetName val="Sheet1"/>
      <sheetName val="Sheet2"/>
    </sheetNames>
    <sheetDataSet>
      <sheetData sheetId="0"/>
      <sheetData sheetId="1"/>
      <sheetData sheetId="2"/>
      <sheetData sheetId="3">
        <row r="5">
          <cell r="E5">
            <v>196020000</v>
          </cell>
        </row>
        <row r="6">
          <cell r="E6">
            <v>239088000</v>
          </cell>
        </row>
        <row r="7">
          <cell r="E7">
            <v>80683000</v>
          </cell>
        </row>
        <row r="8">
          <cell r="E8">
            <v>232171665</v>
          </cell>
        </row>
        <row r="10">
          <cell r="E10">
            <v>132766666</v>
          </cell>
        </row>
        <row r="11">
          <cell r="E11">
            <v>937309999</v>
          </cell>
        </row>
        <row r="12">
          <cell r="E12">
            <v>264325000</v>
          </cell>
        </row>
        <row r="13">
          <cell r="E13">
            <v>397280000</v>
          </cell>
        </row>
        <row r="14">
          <cell r="E14">
            <v>171076666</v>
          </cell>
        </row>
        <row r="15">
          <cell r="E15">
            <v>81000000</v>
          </cell>
        </row>
        <row r="16">
          <cell r="E16">
            <v>400000000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ydj@dreamplaygames.co.kr" TargetMode="External"/><Relationship Id="rId18" Type="http://schemas.openxmlformats.org/officeDocument/2006/relationships/hyperlink" Target="mailto:unmi@jplanit.com" TargetMode="External"/><Relationship Id="rId26" Type="http://schemas.openxmlformats.org/officeDocument/2006/relationships/hyperlink" Target="mailto:ezcha@naver.com" TargetMode="External"/><Relationship Id="rId39" Type="http://schemas.openxmlformats.org/officeDocument/2006/relationships/printerSettings" Target="../printerSettings/printerSettings2.bin"/><Relationship Id="rId21" Type="http://schemas.openxmlformats.org/officeDocument/2006/relationships/hyperlink" Target="mailto:ceramique_sinsa@naver.com" TargetMode="External"/><Relationship Id="rId34" Type="http://schemas.openxmlformats.org/officeDocument/2006/relationships/hyperlink" Target="mailto:kjs@gyeongnamfc.com" TargetMode="External"/><Relationship Id="rId7" Type="http://schemas.openxmlformats.org/officeDocument/2006/relationships/hyperlink" Target="mailto:kkm2578@kurarie.com" TargetMode="External"/><Relationship Id="rId12" Type="http://schemas.openxmlformats.org/officeDocument/2006/relationships/hyperlink" Target="mailto:chlim@titanz.co.kr" TargetMode="External"/><Relationship Id="rId17" Type="http://schemas.openxmlformats.org/officeDocument/2006/relationships/hyperlink" Target="mailto:kchh1023@urp.ai.kr" TargetMode="External"/><Relationship Id="rId25" Type="http://schemas.openxmlformats.org/officeDocument/2006/relationships/hyperlink" Target="mailto:shji@jenti.ai" TargetMode="External"/><Relationship Id="rId33" Type="http://schemas.openxmlformats.org/officeDocument/2006/relationships/hyperlink" Target="mailto:hr@vetching.cc" TargetMode="External"/><Relationship Id="rId38" Type="http://schemas.openxmlformats.org/officeDocument/2006/relationships/hyperlink" Target="mailto:tax@newcurem.com" TargetMode="External"/><Relationship Id="rId2" Type="http://schemas.openxmlformats.org/officeDocument/2006/relationships/hyperlink" Target="mailto:jeyang@mydot.kr" TargetMode="External"/><Relationship Id="rId16" Type="http://schemas.openxmlformats.org/officeDocument/2006/relationships/hyperlink" Target="mailto:sujin.lee@comet.ch" TargetMode="External"/><Relationship Id="rId20" Type="http://schemas.openxmlformats.org/officeDocument/2006/relationships/hyperlink" Target="mailto:ordhouse@ordhouse.com" TargetMode="External"/><Relationship Id="rId29" Type="http://schemas.openxmlformats.org/officeDocument/2006/relationships/hyperlink" Target="mailto:contact@gohappytour.co.kr" TargetMode="External"/><Relationship Id="rId1" Type="http://schemas.openxmlformats.org/officeDocument/2006/relationships/hyperlink" Target="mailto:hj.han@wnytech.com" TargetMode="External"/><Relationship Id="rId6" Type="http://schemas.openxmlformats.org/officeDocument/2006/relationships/hyperlink" Target="mailto:ejlm@hanbitko.com" TargetMode="External"/><Relationship Id="rId11" Type="http://schemas.openxmlformats.org/officeDocument/2006/relationships/hyperlink" Target="mailto:sashim@nuflare.co.kr" TargetMode="External"/><Relationship Id="rId24" Type="http://schemas.openxmlformats.org/officeDocument/2006/relationships/hyperlink" Target="mailto:mj.cho@koreacb.com" TargetMode="External"/><Relationship Id="rId32" Type="http://schemas.openxmlformats.org/officeDocument/2006/relationships/hyperlink" Target="mailto:mjiye@intakefoods.kr" TargetMode="External"/><Relationship Id="rId37" Type="http://schemas.openxmlformats.org/officeDocument/2006/relationships/hyperlink" Target="mailto:l-iron@purpleduck.co.kr" TargetMode="External"/><Relationship Id="rId5" Type="http://schemas.openxmlformats.org/officeDocument/2006/relationships/hyperlink" Target="mailto:kwonsu.kim@harmonygroup.co.kr" TargetMode="External"/><Relationship Id="rId15" Type="http://schemas.openxmlformats.org/officeDocument/2006/relationships/hyperlink" Target="mailto:c_impact@naver.com" TargetMode="External"/><Relationship Id="rId23" Type="http://schemas.openxmlformats.org/officeDocument/2006/relationships/hyperlink" Target="mailto:jjkim5463@naver.com" TargetMode="External"/><Relationship Id="rId28" Type="http://schemas.openxmlformats.org/officeDocument/2006/relationships/hyperlink" Target="mailto:dnkim@kep.or.kr" TargetMode="External"/><Relationship Id="rId36" Type="http://schemas.openxmlformats.org/officeDocument/2006/relationships/hyperlink" Target="mailto:yeji.lee@daiichisankyo.com" TargetMode="External"/><Relationship Id="rId10" Type="http://schemas.openxmlformats.org/officeDocument/2006/relationships/hyperlink" Target="mailto:ernest613@realcontents.co.kr" TargetMode="External"/><Relationship Id="rId19" Type="http://schemas.openxmlformats.org/officeDocument/2006/relationships/hyperlink" Target="mailto:binseo.kim@happyelements.com" TargetMode="External"/><Relationship Id="rId31" Type="http://schemas.openxmlformats.org/officeDocument/2006/relationships/hyperlink" Target="mailto:kbr@kbfsports.or.kr" TargetMode="External"/><Relationship Id="rId4" Type="http://schemas.openxmlformats.org/officeDocument/2006/relationships/hyperlink" Target="mailto:dayoung.kim@circuitfoil.com" TargetMode="External"/><Relationship Id="rId9" Type="http://schemas.openxmlformats.org/officeDocument/2006/relationships/hyperlink" Target="mailto:finance@amchamkorea.org" TargetMode="External"/><Relationship Id="rId14" Type="http://schemas.openxmlformats.org/officeDocument/2006/relationships/hyperlink" Target="mailto:sick9577@gmail.com" TargetMode="External"/><Relationship Id="rId22" Type="http://schemas.openxmlformats.org/officeDocument/2006/relationships/hyperlink" Target="mailto:shpaek@sercrim.com" TargetMode="External"/><Relationship Id="rId27" Type="http://schemas.openxmlformats.org/officeDocument/2006/relationships/hyperlink" Target="mailto:ejh1214@spaceft.com" TargetMode="External"/><Relationship Id="rId30" Type="http://schemas.openxmlformats.org/officeDocument/2006/relationships/hyperlink" Target="mailto:ish1665@naver.com" TargetMode="External"/><Relationship Id="rId35" Type="http://schemas.openxmlformats.org/officeDocument/2006/relationships/hyperlink" Target="mailto:smh@prosports.or.kr" TargetMode="External"/><Relationship Id="rId8" Type="http://schemas.openxmlformats.org/officeDocument/2006/relationships/hyperlink" Target="mailto:jh@f-i-g.kr" TargetMode="External"/><Relationship Id="rId3" Type="http://schemas.openxmlformats.org/officeDocument/2006/relationships/hyperlink" Target="mailto:hwang@kkfs.or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S90"/>
  <sheetViews>
    <sheetView topLeftCell="A28" workbookViewId="0">
      <selection activeCell="F90" sqref="F90"/>
    </sheetView>
  </sheetViews>
  <sheetFormatPr defaultColWidth="9" defaultRowHeight="12"/>
  <cols>
    <col min="1" max="1" width="3.5" style="1" customWidth="1"/>
    <col min="2" max="2" width="6.375" style="1" customWidth="1"/>
    <col min="3" max="3" width="14.875" style="1" customWidth="1"/>
    <col min="4" max="4" width="15" style="1" bestFit="1" customWidth="1"/>
    <col min="5" max="12" width="12.875" style="1" bestFit="1" customWidth="1"/>
    <col min="13" max="13" width="13.875" style="1" bestFit="1" customWidth="1"/>
    <col min="14" max="16" width="12.875" style="1" bestFit="1" customWidth="1"/>
    <col min="17" max="17" width="15" style="1" customWidth="1"/>
    <col min="18" max="18" width="9.25" style="1" hidden="1" customWidth="1"/>
    <col min="19" max="19" width="13.875" style="1" bestFit="1" customWidth="1"/>
    <col min="20" max="16384" width="9" style="1"/>
  </cols>
  <sheetData>
    <row r="1" spans="1:18" ht="13.5" hidden="1" customHeight="1">
      <c r="B1" s="282" t="s">
        <v>1837</v>
      </c>
      <c r="C1" s="8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 t="s">
        <v>890</v>
      </c>
    </row>
    <row r="2" spans="1:18" ht="13.5" hidden="1" customHeight="1">
      <c r="A2" s="15"/>
      <c r="B2" s="497" t="s">
        <v>1577</v>
      </c>
      <c r="C2" s="500" t="s">
        <v>1578</v>
      </c>
      <c r="D2" s="501"/>
      <c r="E2" s="276" t="s">
        <v>3</v>
      </c>
      <c r="F2" s="276" t="s">
        <v>4</v>
      </c>
      <c r="G2" s="276" t="s">
        <v>5</v>
      </c>
      <c r="H2" s="276" t="s">
        <v>6</v>
      </c>
      <c r="I2" s="276" t="s">
        <v>7</v>
      </c>
      <c r="J2" s="276" t="s">
        <v>8</v>
      </c>
      <c r="K2" s="276" t="s">
        <v>9</v>
      </c>
      <c r="L2" s="276" t="s">
        <v>10</v>
      </c>
      <c r="M2" s="276" t="s">
        <v>11</v>
      </c>
      <c r="N2" s="276" t="s">
        <v>12</v>
      </c>
      <c r="O2" s="276" t="s">
        <v>15</v>
      </c>
      <c r="P2" s="276" t="s">
        <v>16</v>
      </c>
      <c r="Q2" s="276" t="s">
        <v>2</v>
      </c>
      <c r="R2" s="9"/>
    </row>
    <row r="3" spans="1:18" ht="13.5" hidden="1" customHeight="1">
      <c r="A3" s="15"/>
      <c r="B3" s="498"/>
      <c r="C3" s="500" t="s">
        <v>1838</v>
      </c>
      <c r="D3" s="501"/>
      <c r="E3" s="283">
        <v>150000000</v>
      </c>
      <c r="F3" s="283">
        <v>250000000</v>
      </c>
      <c r="G3" s="283">
        <v>250000000</v>
      </c>
      <c r="H3" s="283">
        <v>250000000</v>
      </c>
      <c r="I3" s="283">
        <v>250000000</v>
      </c>
      <c r="J3" s="283">
        <v>300000000</v>
      </c>
      <c r="K3" s="283">
        <v>900000000</v>
      </c>
      <c r="L3" s="283">
        <v>250000000</v>
      </c>
      <c r="M3" s="283">
        <v>250000000</v>
      </c>
      <c r="N3" s="283">
        <v>150000000</v>
      </c>
      <c r="O3" s="283">
        <v>50000000</v>
      </c>
      <c r="P3" s="283">
        <v>200000000</v>
      </c>
      <c r="Q3" s="284">
        <v>3000000000</v>
      </c>
      <c r="R3" s="9"/>
    </row>
    <row r="4" spans="1:18" ht="11.25" hidden="1" customHeight="1">
      <c r="A4" s="15"/>
      <c r="B4" s="498"/>
      <c r="C4" s="500" t="s">
        <v>1839</v>
      </c>
      <c r="D4" s="501"/>
      <c r="E4" s="283">
        <f>E3</f>
        <v>150000000</v>
      </c>
      <c r="F4" s="283">
        <f>E4+F3</f>
        <v>400000000</v>
      </c>
      <c r="G4" s="283">
        <f t="shared" ref="G4:P4" si="0">F4+G3</f>
        <v>650000000</v>
      </c>
      <c r="H4" s="283">
        <f t="shared" si="0"/>
        <v>900000000</v>
      </c>
      <c r="I4" s="283">
        <f t="shared" si="0"/>
        <v>1150000000</v>
      </c>
      <c r="J4" s="283">
        <f t="shared" si="0"/>
        <v>1450000000</v>
      </c>
      <c r="K4" s="283">
        <f t="shared" si="0"/>
        <v>2350000000</v>
      </c>
      <c r="L4" s="283">
        <f t="shared" si="0"/>
        <v>2600000000</v>
      </c>
      <c r="M4" s="283">
        <f t="shared" si="0"/>
        <v>2850000000</v>
      </c>
      <c r="N4" s="283">
        <f t="shared" si="0"/>
        <v>3000000000</v>
      </c>
      <c r="O4" s="283">
        <f t="shared" si="0"/>
        <v>3050000000</v>
      </c>
      <c r="P4" s="283">
        <f t="shared" si="0"/>
        <v>3250000000</v>
      </c>
      <c r="Q4" s="284">
        <f>SUM(E4:P4)</f>
        <v>21800000000</v>
      </c>
      <c r="R4" s="9"/>
    </row>
    <row r="5" spans="1:18" ht="13.5" hidden="1" customHeight="1">
      <c r="A5" s="15"/>
      <c r="B5" s="498"/>
      <c r="C5" s="52" t="s">
        <v>17</v>
      </c>
      <c r="D5" s="285">
        <v>5540226673</v>
      </c>
      <c r="E5" s="285">
        <f>D5+E3</f>
        <v>5690226673</v>
      </c>
      <c r="F5" s="285">
        <f t="shared" ref="F5:P5" si="1">E5+F3</f>
        <v>5940226673</v>
      </c>
      <c r="G5" s="285">
        <f t="shared" si="1"/>
        <v>6190226673</v>
      </c>
      <c r="H5" s="285">
        <f t="shared" si="1"/>
        <v>6440226673</v>
      </c>
      <c r="I5" s="285">
        <f t="shared" si="1"/>
        <v>6690226673</v>
      </c>
      <c r="J5" s="285">
        <f t="shared" si="1"/>
        <v>6990226673</v>
      </c>
      <c r="K5" s="285">
        <f t="shared" si="1"/>
        <v>7890226673</v>
      </c>
      <c r="L5" s="285">
        <f t="shared" si="1"/>
        <v>8140226673</v>
      </c>
      <c r="M5" s="285">
        <f t="shared" si="1"/>
        <v>8390226673</v>
      </c>
      <c r="N5" s="285">
        <f t="shared" si="1"/>
        <v>8540226673</v>
      </c>
      <c r="O5" s="285">
        <f t="shared" si="1"/>
        <v>8590226673</v>
      </c>
      <c r="P5" s="285">
        <f t="shared" si="1"/>
        <v>8790226673</v>
      </c>
      <c r="Q5" s="286">
        <f>SUM(E5:P5)</f>
        <v>88282720076</v>
      </c>
      <c r="R5" s="9"/>
    </row>
    <row r="6" spans="1:18" ht="13.5" hidden="1" customHeight="1">
      <c r="A6" s="15"/>
      <c r="B6" s="498"/>
      <c r="C6" s="52" t="s">
        <v>49</v>
      </c>
      <c r="D6" s="285">
        <v>42659745.382100001</v>
      </c>
      <c r="E6" s="285">
        <f>E5*0.77%</f>
        <v>43814745.382100001</v>
      </c>
      <c r="F6" s="285">
        <f t="shared" ref="F6:P6" si="2">F5*0.77%</f>
        <v>45739745.382100001</v>
      </c>
      <c r="G6" s="285">
        <f t="shared" si="2"/>
        <v>47664745.382100001</v>
      </c>
      <c r="H6" s="285">
        <f t="shared" si="2"/>
        <v>49589745.382100001</v>
      </c>
      <c r="I6" s="285">
        <f t="shared" si="2"/>
        <v>51514745.382100001</v>
      </c>
      <c r="J6" s="285">
        <f t="shared" si="2"/>
        <v>53824745.382100001</v>
      </c>
      <c r="K6" s="285">
        <f t="shared" si="2"/>
        <v>60754745.382100001</v>
      </c>
      <c r="L6" s="285">
        <f t="shared" si="2"/>
        <v>62679745.382100001</v>
      </c>
      <c r="M6" s="285">
        <f t="shared" si="2"/>
        <v>64604745.382100001</v>
      </c>
      <c r="N6" s="285">
        <f t="shared" si="2"/>
        <v>65759745.382100001</v>
      </c>
      <c r="O6" s="285">
        <f t="shared" si="2"/>
        <v>66144745.382100001</v>
      </c>
      <c r="P6" s="285">
        <f t="shared" si="2"/>
        <v>67684745.382100001</v>
      </c>
      <c r="Q6" s="286">
        <v>687861944.58519995</v>
      </c>
      <c r="R6" s="9"/>
    </row>
    <row r="7" spans="1:18" ht="13.5" hidden="1" customHeight="1">
      <c r="A7" s="15"/>
      <c r="B7" s="498"/>
      <c r="C7" s="52" t="s">
        <v>50</v>
      </c>
      <c r="D7" s="285">
        <v>22609665.052513003</v>
      </c>
      <c r="E7" s="285">
        <f>E6*53%</f>
        <v>23221815.052513003</v>
      </c>
      <c r="F7" s="285">
        <f t="shared" ref="F7:P7" si="3">F6*53%</f>
        <v>24242065.052513003</v>
      </c>
      <c r="G7" s="285">
        <f t="shared" si="3"/>
        <v>25262315.052513003</v>
      </c>
      <c r="H7" s="285">
        <f t="shared" si="3"/>
        <v>26282565.052513003</v>
      </c>
      <c r="I7" s="285">
        <f t="shared" si="3"/>
        <v>27302815.052513003</v>
      </c>
      <c r="J7" s="285">
        <f t="shared" si="3"/>
        <v>28527115.052513003</v>
      </c>
      <c r="K7" s="285">
        <f t="shared" si="3"/>
        <v>32200015.052513003</v>
      </c>
      <c r="L7" s="285">
        <f t="shared" si="3"/>
        <v>33220265.052513003</v>
      </c>
      <c r="M7" s="285">
        <f t="shared" si="3"/>
        <v>34240515.052513003</v>
      </c>
      <c r="N7" s="285">
        <f t="shared" si="3"/>
        <v>34852665.052513003</v>
      </c>
      <c r="O7" s="285">
        <f t="shared" si="3"/>
        <v>35056715.052513003</v>
      </c>
      <c r="P7" s="285">
        <f t="shared" si="3"/>
        <v>35872915.052513003</v>
      </c>
      <c r="Q7" s="286">
        <f>SUM(E7:P7)</f>
        <v>360281780.63015604</v>
      </c>
      <c r="R7" s="9"/>
    </row>
    <row r="8" spans="1:18" ht="13.5" hidden="1" customHeight="1">
      <c r="A8" s="15"/>
      <c r="B8" s="499"/>
      <c r="C8" s="52" t="s">
        <v>51</v>
      </c>
      <c r="D8" s="285">
        <v>20050080.329586998</v>
      </c>
      <c r="E8" s="287">
        <f>E6-E7</f>
        <v>20592930.329586998</v>
      </c>
      <c r="F8" s="287">
        <f t="shared" ref="F8:P8" si="4">F6-F7</f>
        <v>21497680.329586998</v>
      </c>
      <c r="G8" s="287">
        <f t="shared" si="4"/>
        <v>22402430.329586998</v>
      </c>
      <c r="H8" s="287">
        <f t="shared" si="4"/>
        <v>23307180.329586998</v>
      </c>
      <c r="I8" s="287">
        <f t="shared" si="4"/>
        <v>24211930.329586998</v>
      </c>
      <c r="J8" s="287">
        <f t="shared" si="4"/>
        <v>25297630.329586998</v>
      </c>
      <c r="K8" s="287">
        <f t="shared" si="4"/>
        <v>28554730.329586998</v>
      </c>
      <c r="L8" s="287">
        <f t="shared" si="4"/>
        <v>29459480.329586998</v>
      </c>
      <c r="M8" s="287">
        <f t="shared" si="4"/>
        <v>30364230.329586998</v>
      </c>
      <c r="N8" s="287">
        <f t="shared" si="4"/>
        <v>30907080.329586998</v>
      </c>
      <c r="O8" s="287">
        <f t="shared" si="4"/>
        <v>31088030.329586998</v>
      </c>
      <c r="P8" s="287">
        <f t="shared" si="4"/>
        <v>31811830.329586998</v>
      </c>
      <c r="Q8" s="288">
        <f>SUM(E8:P8)</f>
        <v>319495163.95504391</v>
      </c>
      <c r="R8" s="9"/>
    </row>
    <row r="9" spans="1:18" ht="13.5" hidden="1" customHeight="1">
      <c r="B9" s="220"/>
      <c r="C9" s="289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</row>
    <row r="10" spans="1:18" ht="13.5" hidden="1" customHeight="1">
      <c r="A10" s="15"/>
      <c r="B10" s="497" t="s">
        <v>1840</v>
      </c>
      <c r="C10" s="500" t="s">
        <v>1578</v>
      </c>
      <c r="D10" s="501"/>
      <c r="E10" s="276" t="s">
        <v>3</v>
      </c>
      <c r="F10" s="276" t="s">
        <v>4</v>
      </c>
      <c r="G10" s="276" t="s">
        <v>5</v>
      </c>
      <c r="H10" s="276" t="s">
        <v>6</v>
      </c>
      <c r="I10" s="276" t="s">
        <v>7</v>
      </c>
      <c r="J10" s="276" t="s">
        <v>8</v>
      </c>
      <c r="K10" s="276" t="s">
        <v>9</v>
      </c>
      <c r="L10" s="276" t="s">
        <v>10</v>
      </c>
      <c r="M10" s="276" t="s">
        <v>11</v>
      </c>
      <c r="N10" s="276" t="s">
        <v>12</v>
      </c>
      <c r="O10" s="276" t="s">
        <v>15</v>
      </c>
      <c r="P10" s="276" t="s">
        <v>16</v>
      </c>
      <c r="Q10" s="276" t="s">
        <v>2</v>
      </c>
      <c r="R10" s="9"/>
    </row>
    <row r="11" spans="1:18" ht="13.5" hidden="1" customHeight="1">
      <c r="A11" s="15"/>
      <c r="B11" s="498"/>
      <c r="C11" s="500" t="s">
        <v>1838</v>
      </c>
      <c r="D11" s="501"/>
      <c r="E11" s="283">
        <v>130000000</v>
      </c>
      <c r="F11" s="283">
        <v>260000000</v>
      </c>
      <c r="G11" s="283">
        <v>110000000</v>
      </c>
      <c r="H11" s="283">
        <v>200000000</v>
      </c>
      <c r="I11" s="283">
        <v>300000000</v>
      </c>
      <c r="J11" s="283">
        <v>250000000</v>
      </c>
      <c r="K11" s="283">
        <v>900000000</v>
      </c>
      <c r="L11" s="283">
        <v>250000000</v>
      </c>
      <c r="M11" s="283">
        <v>250000000</v>
      </c>
      <c r="N11" s="283">
        <v>140000000</v>
      </c>
      <c r="O11" s="283">
        <v>70000000</v>
      </c>
      <c r="P11" s="283">
        <v>140000000</v>
      </c>
      <c r="Q11" s="290">
        <f>SUM(E11:P11)</f>
        <v>3000000000</v>
      </c>
      <c r="R11" s="9"/>
    </row>
    <row r="12" spans="1:18" ht="13.5" hidden="1" customHeight="1">
      <c r="A12" s="15"/>
      <c r="B12" s="498"/>
      <c r="C12" s="500" t="s">
        <v>1839</v>
      </c>
      <c r="D12" s="501"/>
      <c r="E12" s="283">
        <f>E11</f>
        <v>130000000</v>
      </c>
      <c r="F12" s="283">
        <f>E12+F11</f>
        <v>390000000</v>
      </c>
      <c r="G12" s="283">
        <f t="shared" ref="G12:P12" si="5">F12+G11</f>
        <v>500000000</v>
      </c>
      <c r="H12" s="283">
        <f t="shared" si="5"/>
        <v>700000000</v>
      </c>
      <c r="I12" s="283">
        <f t="shared" si="5"/>
        <v>1000000000</v>
      </c>
      <c r="J12" s="283">
        <f t="shared" si="5"/>
        <v>1250000000</v>
      </c>
      <c r="K12" s="283">
        <f t="shared" si="5"/>
        <v>2150000000</v>
      </c>
      <c r="L12" s="283">
        <f t="shared" si="5"/>
        <v>2400000000</v>
      </c>
      <c r="M12" s="283">
        <f t="shared" si="5"/>
        <v>2650000000</v>
      </c>
      <c r="N12" s="283">
        <f t="shared" si="5"/>
        <v>2790000000</v>
      </c>
      <c r="O12" s="283">
        <f t="shared" si="5"/>
        <v>2860000000</v>
      </c>
      <c r="P12" s="283">
        <f t="shared" si="5"/>
        <v>3000000000</v>
      </c>
      <c r="Q12" s="290">
        <f>SUM(E12:P12)</f>
        <v>19820000000</v>
      </c>
      <c r="R12" s="9"/>
    </row>
    <row r="13" spans="1:18" ht="13.5" hidden="1" customHeight="1">
      <c r="A13" s="15"/>
      <c r="B13" s="498"/>
      <c r="C13" s="52" t="s">
        <v>17</v>
      </c>
      <c r="D13" s="285">
        <v>5540226673</v>
      </c>
      <c r="E13" s="4">
        <f>D13+E11</f>
        <v>5670226673</v>
      </c>
      <c r="F13" s="4">
        <f t="shared" ref="F13:P13" si="6">E13+F11</f>
        <v>5930226673</v>
      </c>
      <c r="G13" s="4">
        <f t="shared" si="6"/>
        <v>6040226673</v>
      </c>
      <c r="H13" s="4">
        <f t="shared" si="6"/>
        <v>6240226673</v>
      </c>
      <c r="I13" s="4">
        <f t="shared" si="6"/>
        <v>6540226673</v>
      </c>
      <c r="J13" s="4">
        <f t="shared" si="6"/>
        <v>6790226673</v>
      </c>
      <c r="K13" s="4">
        <f t="shared" si="6"/>
        <v>7690226673</v>
      </c>
      <c r="L13" s="4">
        <f t="shared" si="6"/>
        <v>7940226673</v>
      </c>
      <c r="M13" s="4">
        <f t="shared" si="6"/>
        <v>8190226673</v>
      </c>
      <c r="N13" s="4">
        <f t="shared" si="6"/>
        <v>8330226673</v>
      </c>
      <c r="O13" s="4">
        <f t="shared" si="6"/>
        <v>8400226673</v>
      </c>
      <c r="P13" s="4">
        <f t="shared" si="6"/>
        <v>8540226673</v>
      </c>
      <c r="Q13" s="291">
        <f>SUM(E13:P13)</f>
        <v>86302720076</v>
      </c>
      <c r="R13" s="9"/>
    </row>
    <row r="14" spans="1:18" ht="13.5" hidden="1" customHeight="1">
      <c r="A14" s="15"/>
      <c r="B14" s="498"/>
      <c r="C14" s="52" t="s">
        <v>49</v>
      </c>
      <c r="D14" s="285">
        <v>42659745.382100001</v>
      </c>
      <c r="E14" s="285">
        <f>E13*0.77%</f>
        <v>43660745.382100001</v>
      </c>
      <c r="F14" s="285">
        <f t="shared" ref="F14:P14" si="7">F13*0.77%</f>
        <v>45662745.382100001</v>
      </c>
      <c r="G14" s="285">
        <f t="shared" si="7"/>
        <v>46509745.382100001</v>
      </c>
      <c r="H14" s="285">
        <f t="shared" si="7"/>
        <v>48049745.382100001</v>
      </c>
      <c r="I14" s="285">
        <f t="shared" si="7"/>
        <v>50359745.382100001</v>
      </c>
      <c r="J14" s="285">
        <f t="shared" si="7"/>
        <v>52284745.382100001</v>
      </c>
      <c r="K14" s="285">
        <f t="shared" si="7"/>
        <v>59214745.382100001</v>
      </c>
      <c r="L14" s="285">
        <f t="shared" si="7"/>
        <v>61139745.382100001</v>
      </c>
      <c r="M14" s="285">
        <f t="shared" si="7"/>
        <v>63064745.382100001</v>
      </c>
      <c r="N14" s="285">
        <f t="shared" si="7"/>
        <v>64142745.382100001</v>
      </c>
      <c r="O14" s="285">
        <f t="shared" si="7"/>
        <v>64681745.382100001</v>
      </c>
      <c r="P14" s="285">
        <f t="shared" si="7"/>
        <v>65759745.382100001</v>
      </c>
      <c r="Q14" s="291">
        <v>687861944.58519995</v>
      </c>
      <c r="R14" s="9"/>
    </row>
    <row r="15" spans="1:18" ht="13.5" hidden="1" customHeight="1">
      <c r="A15" s="15"/>
      <c r="B15" s="498"/>
      <c r="C15" s="52" t="s">
        <v>50</v>
      </c>
      <c r="D15" s="285">
        <v>22609665.052513003</v>
      </c>
      <c r="E15" s="285">
        <f>E14*53%</f>
        <v>23140195.052513003</v>
      </c>
      <c r="F15" s="285">
        <f t="shared" ref="F15:P15" si="8">F14*53%</f>
        <v>24201255.052513003</v>
      </c>
      <c r="G15" s="285">
        <f t="shared" si="8"/>
        <v>24650165.052513003</v>
      </c>
      <c r="H15" s="285">
        <f t="shared" si="8"/>
        <v>25466365.052513003</v>
      </c>
      <c r="I15" s="285">
        <f t="shared" si="8"/>
        <v>26690665.052513003</v>
      </c>
      <c r="J15" s="285">
        <f t="shared" si="8"/>
        <v>27710915.052513003</v>
      </c>
      <c r="K15" s="285">
        <f t="shared" si="8"/>
        <v>31383815.052513003</v>
      </c>
      <c r="L15" s="285">
        <f t="shared" si="8"/>
        <v>32404065.052513003</v>
      </c>
      <c r="M15" s="285">
        <f t="shared" si="8"/>
        <v>33424315.052513003</v>
      </c>
      <c r="N15" s="285">
        <f t="shared" si="8"/>
        <v>33995655.052513003</v>
      </c>
      <c r="O15" s="285">
        <f t="shared" si="8"/>
        <v>34281325.052513003</v>
      </c>
      <c r="P15" s="285">
        <f t="shared" si="8"/>
        <v>34852665.052513003</v>
      </c>
      <c r="Q15" s="291">
        <f>SUM(E15:P15)</f>
        <v>352201400.63015604</v>
      </c>
      <c r="R15" s="9"/>
    </row>
    <row r="16" spans="1:18" ht="13.5" hidden="1" customHeight="1">
      <c r="A16" s="15"/>
      <c r="B16" s="499"/>
      <c r="C16" s="52" t="s">
        <v>51</v>
      </c>
      <c r="D16" s="285">
        <v>20050080.329586998</v>
      </c>
      <c r="E16" s="287">
        <f>E14-E15</f>
        <v>20520550.329586998</v>
      </c>
      <c r="F16" s="287">
        <f t="shared" ref="F16:P16" si="9">F14-F15</f>
        <v>21461490.329586998</v>
      </c>
      <c r="G16" s="287">
        <f t="shared" si="9"/>
        <v>21859580.329586998</v>
      </c>
      <c r="H16" s="287">
        <f t="shared" si="9"/>
        <v>22583380.329586998</v>
      </c>
      <c r="I16" s="287">
        <f t="shared" si="9"/>
        <v>23669080.329586998</v>
      </c>
      <c r="J16" s="287">
        <f t="shared" si="9"/>
        <v>24573830.329586998</v>
      </c>
      <c r="K16" s="287">
        <f t="shared" si="9"/>
        <v>27830930.329586998</v>
      </c>
      <c r="L16" s="287">
        <f t="shared" si="9"/>
        <v>28735680.329586998</v>
      </c>
      <c r="M16" s="287">
        <f t="shared" si="9"/>
        <v>29640430.329586998</v>
      </c>
      <c r="N16" s="287">
        <f t="shared" si="9"/>
        <v>30147090.329586998</v>
      </c>
      <c r="O16" s="287">
        <f t="shared" si="9"/>
        <v>30400420.329586998</v>
      </c>
      <c r="P16" s="287">
        <f t="shared" si="9"/>
        <v>30907080.329586998</v>
      </c>
      <c r="Q16" s="292">
        <f>SUM(E16:P16)</f>
        <v>312329543.95504391</v>
      </c>
      <c r="R16" s="9"/>
    </row>
    <row r="17" spans="2:19" ht="13.5" hidden="1" customHeight="1">
      <c r="B17" s="11"/>
      <c r="C17" s="12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2:19" ht="13.5" hidden="1" customHeight="1">
      <c r="B18" s="497" t="s">
        <v>1841</v>
      </c>
      <c r="C18" s="500" t="s">
        <v>1578</v>
      </c>
      <c r="D18" s="501"/>
      <c r="E18" s="276" t="s">
        <v>3</v>
      </c>
      <c r="F18" s="276" t="s">
        <v>4</v>
      </c>
      <c r="G18" s="276" t="s">
        <v>5</v>
      </c>
      <c r="H18" s="276" t="s">
        <v>6</v>
      </c>
      <c r="I18" s="276" t="s">
        <v>7</v>
      </c>
      <c r="J18" s="276" t="s">
        <v>8</v>
      </c>
      <c r="K18" s="276" t="s">
        <v>9</v>
      </c>
      <c r="L18" s="276" t="s">
        <v>10</v>
      </c>
      <c r="M18" s="276" t="s">
        <v>11</v>
      </c>
      <c r="N18" s="276" t="s">
        <v>12</v>
      </c>
      <c r="O18" s="276" t="s">
        <v>15</v>
      </c>
      <c r="P18" s="276" t="s">
        <v>16</v>
      </c>
      <c r="Q18" s="276" t="s">
        <v>2</v>
      </c>
    </row>
    <row r="19" spans="2:19" ht="13.5" hidden="1" customHeight="1">
      <c r="B19" s="498"/>
      <c r="C19" s="500" t="s">
        <v>1838</v>
      </c>
      <c r="D19" s="501"/>
      <c r="E19" s="283">
        <f>[1]Sheet1!$E$5</f>
        <v>196020000</v>
      </c>
      <c r="F19" s="283">
        <f>[1]Sheet1!$E$6</f>
        <v>239088000</v>
      </c>
      <c r="G19" s="283">
        <f>[1]Sheet1!$E$7</f>
        <v>80683000</v>
      </c>
      <c r="H19" s="283">
        <f>[1]Sheet1!$E$8</f>
        <v>232171665</v>
      </c>
      <c r="I19" s="283">
        <f>[1]Sheet1!$E$10</f>
        <v>132766666</v>
      </c>
      <c r="J19" s="283">
        <f>[1]Sheet1!$E$10</f>
        <v>132766666</v>
      </c>
      <c r="K19" s="283">
        <f>[1]Sheet1!$E$11</f>
        <v>937309999</v>
      </c>
      <c r="L19" s="283">
        <f>[1]Sheet1!$E$12</f>
        <v>264325000</v>
      </c>
      <c r="M19" s="283">
        <f>[1]Sheet1!$E$13</f>
        <v>397280000</v>
      </c>
      <c r="N19" s="283">
        <f>[1]Sheet1!$E$14</f>
        <v>171076666</v>
      </c>
      <c r="O19" s="283">
        <f>[1]Sheet1!$E$15</f>
        <v>81000000</v>
      </c>
      <c r="P19" s="283">
        <f>[1]Sheet1!$E$16</f>
        <v>400000000</v>
      </c>
      <c r="Q19" s="290">
        <f>SUM(E19:P19)</f>
        <v>3264487662</v>
      </c>
    </row>
    <row r="20" spans="2:19" ht="13.5" hidden="1" customHeight="1">
      <c r="B20" s="498"/>
      <c r="C20" s="500" t="s">
        <v>1839</v>
      </c>
      <c r="D20" s="501"/>
      <c r="E20" s="283">
        <f>E19</f>
        <v>196020000</v>
      </c>
      <c r="F20" s="283">
        <f>E20+F19</f>
        <v>435108000</v>
      </c>
      <c r="G20" s="283">
        <f t="shared" ref="G20:P20" si="10">F20+G19</f>
        <v>515791000</v>
      </c>
      <c r="H20" s="283">
        <f t="shared" si="10"/>
        <v>747962665</v>
      </c>
      <c r="I20" s="283">
        <f t="shared" si="10"/>
        <v>880729331</v>
      </c>
      <c r="J20" s="283">
        <f t="shared" si="10"/>
        <v>1013495997</v>
      </c>
      <c r="K20" s="283">
        <f t="shared" si="10"/>
        <v>1950805996</v>
      </c>
      <c r="L20" s="283">
        <f t="shared" si="10"/>
        <v>2215130996</v>
      </c>
      <c r="M20" s="283">
        <f t="shared" si="10"/>
        <v>2612410996</v>
      </c>
      <c r="N20" s="283">
        <f t="shared" si="10"/>
        <v>2783487662</v>
      </c>
      <c r="O20" s="283">
        <f t="shared" si="10"/>
        <v>2864487662</v>
      </c>
      <c r="P20" s="283">
        <f t="shared" si="10"/>
        <v>3264487662</v>
      </c>
      <c r="Q20" s="290">
        <f>SUM(E20:P20)</f>
        <v>19479917967</v>
      </c>
    </row>
    <row r="21" spans="2:19" ht="13.5" hidden="1" customHeight="1">
      <c r="B21" s="498"/>
      <c r="C21" s="52" t="s">
        <v>17</v>
      </c>
      <c r="D21" s="285">
        <v>5540226673</v>
      </c>
      <c r="E21" s="4">
        <v>6060451913</v>
      </c>
      <c r="F21" s="4">
        <v>5726678424</v>
      </c>
      <c r="G21" s="4">
        <v>6558338984</v>
      </c>
      <c r="H21" s="4">
        <v>6839918792</v>
      </c>
      <c r="I21" s="4">
        <v>6567003624</v>
      </c>
      <c r="J21" s="4">
        <v>6330822979</v>
      </c>
      <c r="K21" s="4">
        <v>7913840113</v>
      </c>
      <c r="L21" s="4">
        <v>8531346228</v>
      </c>
      <c r="M21" s="4">
        <v>8735372591</v>
      </c>
      <c r="N21" s="4">
        <v>8654973534</v>
      </c>
      <c r="O21" s="4">
        <v>8750348280</v>
      </c>
      <c r="P21" s="4">
        <v>9068570388</v>
      </c>
      <c r="Q21" s="291">
        <v>89737665850</v>
      </c>
    </row>
    <row r="22" spans="2:19" ht="13.5" hidden="1" customHeight="1">
      <c r="B22" s="498"/>
      <c r="C22" s="52" t="s">
        <v>49</v>
      </c>
      <c r="D22" s="285">
        <v>42659745.382100001</v>
      </c>
      <c r="E22" s="285">
        <v>46649358</v>
      </c>
      <c r="F22" s="285">
        <v>44392889</v>
      </c>
      <c r="G22" s="285">
        <v>48976023</v>
      </c>
      <c r="H22" s="285">
        <v>50934182</v>
      </c>
      <c r="I22" s="285">
        <v>50361625</v>
      </c>
      <c r="J22" s="285">
        <v>49254817</v>
      </c>
      <c r="K22" s="285">
        <v>61631771</v>
      </c>
      <c r="L22" s="285">
        <v>64283165</v>
      </c>
      <c r="M22" s="285">
        <v>65530427</v>
      </c>
      <c r="N22" s="285">
        <v>64944621</v>
      </c>
      <c r="O22" s="285">
        <v>65689396</v>
      </c>
      <c r="P22" s="285">
        <v>70522190</v>
      </c>
      <c r="Q22" s="291">
        <v>683170464</v>
      </c>
    </row>
    <row r="23" spans="2:19" ht="13.5" hidden="1" customHeight="1">
      <c r="B23" s="498"/>
      <c r="C23" s="52" t="s">
        <v>50</v>
      </c>
      <c r="D23" s="285">
        <v>22609665.052513003</v>
      </c>
      <c r="E23" s="285">
        <v>24136601</v>
      </c>
      <c r="F23" s="285">
        <v>22785430</v>
      </c>
      <c r="G23" s="285">
        <v>24556829</v>
      </c>
      <c r="H23" s="285">
        <v>25206435</v>
      </c>
      <c r="I23" s="285">
        <v>25268103</v>
      </c>
      <c r="J23" s="285">
        <v>25122109</v>
      </c>
      <c r="K23" s="285">
        <v>30925904</v>
      </c>
      <c r="L23" s="285">
        <v>31407947</v>
      </c>
      <c r="M23" s="285">
        <v>31975521</v>
      </c>
      <c r="N23" s="285">
        <v>29938776</v>
      </c>
      <c r="O23" s="285">
        <v>30443679</v>
      </c>
      <c r="P23" s="285">
        <v>33229448</v>
      </c>
      <c r="Q23" s="291">
        <v>334996782</v>
      </c>
    </row>
    <row r="24" spans="2:19" ht="13.5" hidden="1" customHeight="1">
      <c r="B24" s="499"/>
      <c r="C24" s="52" t="s">
        <v>51</v>
      </c>
      <c r="D24" s="285">
        <v>20050080.329586998</v>
      </c>
      <c r="E24" s="287">
        <f>E22-E23</f>
        <v>22512757</v>
      </c>
      <c r="F24" s="287">
        <f t="shared" ref="F24:Q24" si="11">F22-F23</f>
        <v>21607459</v>
      </c>
      <c r="G24" s="287">
        <f t="shared" si="11"/>
        <v>24419194</v>
      </c>
      <c r="H24" s="287">
        <f t="shared" si="11"/>
        <v>25727747</v>
      </c>
      <c r="I24" s="287">
        <f t="shared" si="11"/>
        <v>25093522</v>
      </c>
      <c r="J24" s="287">
        <f t="shared" si="11"/>
        <v>24132708</v>
      </c>
      <c r="K24" s="287">
        <f t="shared" si="11"/>
        <v>30705867</v>
      </c>
      <c r="L24" s="287">
        <f t="shared" si="11"/>
        <v>32875218</v>
      </c>
      <c r="M24" s="287">
        <f t="shared" si="11"/>
        <v>33554906</v>
      </c>
      <c r="N24" s="287">
        <f t="shared" si="11"/>
        <v>35005845</v>
      </c>
      <c r="O24" s="287">
        <f t="shared" si="11"/>
        <v>35245717</v>
      </c>
      <c r="P24" s="287">
        <f t="shared" si="11"/>
        <v>37292742</v>
      </c>
      <c r="Q24" s="292">
        <f t="shared" si="11"/>
        <v>348173682</v>
      </c>
    </row>
    <row r="25" spans="2:19" ht="13.5" hidden="1" customHeight="1">
      <c r="B25" s="220"/>
      <c r="C25" s="289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</row>
    <row r="26" spans="2:19" ht="13.5" customHeight="1">
      <c r="B26" s="293" t="s">
        <v>1842</v>
      </c>
      <c r="C26" s="294"/>
      <c r="D26" s="295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 t="s">
        <v>890</v>
      </c>
    </row>
    <row r="27" spans="2:19" ht="13.5" customHeight="1">
      <c r="B27" s="497" t="s">
        <v>1843</v>
      </c>
      <c r="C27" s="500" t="s">
        <v>1578</v>
      </c>
      <c r="D27" s="501"/>
      <c r="E27" s="276" t="s">
        <v>3</v>
      </c>
      <c r="F27" s="276" t="s">
        <v>4</v>
      </c>
      <c r="G27" s="276" t="s">
        <v>5</v>
      </c>
      <c r="H27" s="276" t="s">
        <v>6</v>
      </c>
      <c r="I27" s="276" t="s">
        <v>7</v>
      </c>
      <c r="J27" s="276" t="s">
        <v>8</v>
      </c>
      <c r="K27" s="276" t="s">
        <v>9</v>
      </c>
      <c r="L27" s="276" t="s">
        <v>10</v>
      </c>
      <c r="M27" s="276" t="s">
        <v>11</v>
      </c>
      <c r="N27" s="276" t="s">
        <v>12</v>
      </c>
      <c r="O27" s="276" t="s">
        <v>15</v>
      </c>
      <c r="P27" s="276" t="s">
        <v>16</v>
      </c>
      <c r="Q27" s="276" t="s">
        <v>2</v>
      </c>
    </row>
    <row r="28" spans="2:19" ht="13.5" customHeight="1">
      <c r="B28" s="498"/>
      <c r="C28" s="500" t="s">
        <v>1838</v>
      </c>
      <c r="D28" s="501"/>
      <c r="E28" s="283">
        <v>1000000000</v>
      </c>
      <c r="F28" s="283">
        <v>200000000</v>
      </c>
      <c r="G28" s="283">
        <v>200000000</v>
      </c>
      <c r="H28" s="283">
        <v>200000000</v>
      </c>
      <c r="I28" s="283">
        <v>200000000</v>
      </c>
      <c r="J28" s="283">
        <v>300000000</v>
      </c>
      <c r="K28" s="283">
        <v>200000000</v>
      </c>
      <c r="L28" s="283">
        <v>200000000</v>
      </c>
      <c r="M28" s="283">
        <v>200000000</v>
      </c>
      <c r="N28" s="283">
        <v>200000000</v>
      </c>
      <c r="O28" s="283">
        <v>200000000</v>
      </c>
      <c r="P28" s="283">
        <v>200000000</v>
      </c>
      <c r="Q28" s="290">
        <v>3300000000</v>
      </c>
      <c r="R28" s="296"/>
      <c r="S28" s="297"/>
    </row>
    <row r="29" spans="2:19" ht="13.5" customHeight="1">
      <c r="B29" s="498"/>
      <c r="C29" s="500" t="s">
        <v>1839</v>
      </c>
      <c r="D29" s="501"/>
      <c r="E29" s="283">
        <v>1000000000</v>
      </c>
      <c r="F29" s="283">
        <v>1100000000</v>
      </c>
      <c r="G29" s="283">
        <v>1300000000</v>
      </c>
      <c r="H29" s="283">
        <v>1500000000</v>
      </c>
      <c r="I29" s="283">
        <v>1800000000</v>
      </c>
      <c r="J29" s="283">
        <v>2100000000</v>
      </c>
      <c r="K29" s="283">
        <v>2300000000</v>
      </c>
      <c r="L29" s="283">
        <v>2500000000</v>
      </c>
      <c r="M29" s="283">
        <v>2700000000</v>
      </c>
      <c r="N29" s="283">
        <v>2900000000</v>
      </c>
      <c r="O29" s="283">
        <v>3100000000</v>
      </c>
      <c r="P29" s="283">
        <v>3300000000</v>
      </c>
      <c r="Q29" s="290">
        <v>24150000000</v>
      </c>
      <c r="R29" s="296"/>
      <c r="S29" s="297"/>
    </row>
    <row r="30" spans="2:19" ht="13.5" customHeight="1">
      <c r="B30" s="498"/>
      <c r="C30" s="52" t="s">
        <v>17</v>
      </c>
      <c r="D30" s="285">
        <f>P21</f>
        <v>9068570388</v>
      </c>
      <c r="E30" s="4">
        <f>D30+E29</f>
        <v>10068570388</v>
      </c>
      <c r="F30" s="4">
        <f>E30+F28</f>
        <v>10268570388</v>
      </c>
      <c r="G30" s="4">
        <f t="shared" ref="G30:P30" si="12">F30+G28</f>
        <v>10468570388</v>
      </c>
      <c r="H30" s="4">
        <f t="shared" si="12"/>
        <v>10668570388</v>
      </c>
      <c r="I30" s="4">
        <f t="shared" si="12"/>
        <v>10868570388</v>
      </c>
      <c r="J30" s="4">
        <f t="shared" si="12"/>
        <v>11168570388</v>
      </c>
      <c r="K30" s="4">
        <f t="shared" si="12"/>
        <v>11368570388</v>
      </c>
      <c r="L30" s="4">
        <f t="shared" si="12"/>
        <v>11568570388</v>
      </c>
      <c r="M30" s="4">
        <f t="shared" si="12"/>
        <v>11768570388</v>
      </c>
      <c r="N30" s="4">
        <f t="shared" si="12"/>
        <v>11968570388</v>
      </c>
      <c r="O30" s="4">
        <f t="shared" si="12"/>
        <v>12168570388</v>
      </c>
      <c r="P30" s="4">
        <f t="shared" si="12"/>
        <v>12368570388</v>
      </c>
      <c r="Q30" s="291">
        <f t="shared" ref="Q30:Q34" si="13">SUM(E30:P30)</f>
        <v>134722844656</v>
      </c>
    </row>
    <row r="31" spans="2:19" ht="13.5" customHeight="1">
      <c r="B31" s="498"/>
      <c r="C31" s="52" t="s">
        <v>49</v>
      </c>
      <c r="D31" s="285">
        <f>P22</f>
        <v>70522190</v>
      </c>
      <c r="E31" s="285">
        <f>E30*0.77%</f>
        <v>77527991.987599999</v>
      </c>
      <c r="F31" s="285">
        <f t="shared" ref="F31:P31" si="14">F30*0.77%</f>
        <v>79067991.987599999</v>
      </c>
      <c r="G31" s="285">
        <f t="shared" si="14"/>
        <v>80607991.987599999</v>
      </c>
      <c r="H31" s="285">
        <f t="shared" si="14"/>
        <v>82147991.987599999</v>
      </c>
      <c r="I31" s="285">
        <f t="shared" si="14"/>
        <v>83687991.987599999</v>
      </c>
      <c r="J31" s="285">
        <f t="shared" si="14"/>
        <v>85997991.987599999</v>
      </c>
      <c r="K31" s="285">
        <f t="shared" si="14"/>
        <v>87537991.987599999</v>
      </c>
      <c r="L31" s="285">
        <f t="shared" si="14"/>
        <v>89077991.987599999</v>
      </c>
      <c r="M31" s="285">
        <f t="shared" si="14"/>
        <v>90617991.987599999</v>
      </c>
      <c r="N31" s="285">
        <f t="shared" si="14"/>
        <v>92157991.987599999</v>
      </c>
      <c r="O31" s="285">
        <f t="shared" si="14"/>
        <v>93697991.987599999</v>
      </c>
      <c r="P31" s="285">
        <f t="shared" si="14"/>
        <v>95237991.987599999</v>
      </c>
      <c r="Q31" s="291">
        <f t="shared" si="13"/>
        <v>1037365903.8511997</v>
      </c>
    </row>
    <row r="32" spans="2:19" ht="13.5" customHeight="1">
      <c r="B32" s="498"/>
      <c r="C32" s="52" t="s">
        <v>2247</v>
      </c>
      <c r="D32" s="285">
        <f>P23</f>
        <v>33229448</v>
      </c>
      <c r="E32" s="285">
        <f>E31*47%</f>
        <v>36438156.234171994</v>
      </c>
      <c r="F32" s="285">
        <f t="shared" ref="F32:P32" si="15">F31*50%</f>
        <v>39533995.993799999</v>
      </c>
      <c r="G32" s="285">
        <f t="shared" si="15"/>
        <v>40303995.993799999</v>
      </c>
      <c r="H32" s="285">
        <f t="shared" si="15"/>
        <v>41073995.993799999</v>
      </c>
      <c r="I32" s="285">
        <f t="shared" si="15"/>
        <v>41843995.993799999</v>
      </c>
      <c r="J32" s="285">
        <f t="shared" si="15"/>
        <v>42998995.993799999</v>
      </c>
      <c r="K32" s="285">
        <f t="shared" si="15"/>
        <v>43768995.993799999</v>
      </c>
      <c r="L32" s="285">
        <f t="shared" si="15"/>
        <v>44538995.993799999</v>
      </c>
      <c r="M32" s="285">
        <f t="shared" si="15"/>
        <v>45308995.993799999</v>
      </c>
      <c r="N32" s="285">
        <f t="shared" si="15"/>
        <v>46078995.993799999</v>
      </c>
      <c r="O32" s="285">
        <f t="shared" si="15"/>
        <v>46848995.993799999</v>
      </c>
      <c r="P32" s="285">
        <f t="shared" si="15"/>
        <v>47618995.993799999</v>
      </c>
      <c r="Q32" s="291">
        <f t="shared" si="13"/>
        <v>516357112.16597188</v>
      </c>
    </row>
    <row r="33" spans="1:18" ht="13.5" customHeight="1">
      <c r="B33" s="499"/>
      <c r="C33" s="52" t="s">
        <v>1588</v>
      </c>
      <c r="D33" s="285">
        <f>P24</f>
        <v>37292742</v>
      </c>
      <c r="E33" s="287">
        <f>E31-E32</f>
        <v>41089835.753428005</v>
      </c>
      <c r="F33" s="287">
        <f t="shared" ref="F33:P33" si="16">F31-F32</f>
        <v>39533995.993799999</v>
      </c>
      <c r="G33" s="287">
        <f t="shared" si="16"/>
        <v>40303995.993799999</v>
      </c>
      <c r="H33" s="287">
        <f t="shared" si="16"/>
        <v>41073995.993799999</v>
      </c>
      <c r="I33" s="287">
        <f t="shared" si="16"/>
        <v>41843995.993799999</v>
      </c>
      <c r="J33" s="287">
        <f t="shared" si="16"/>
        <v>42998995.993799999</v>
      </c>
      <c r="K33" s="287">
        <f t="shared" si="16"/>
        <v>43768995.993799999</v>
      </c>
      <c r="L33" s="287">
        <f t="shared" si="16"/>
        <v>44538995.993799999</v>
      </c>
      <c r="M33" s="287">
        <f t="shared" si="16"/>
        <v>45308995.993799999</v>
      </c>
      <c r="N33" s="287">
        <f t="shared" si="16"/>
        <v>46078995.993799999</v>
      </c>
      <c r="O33" s="287">
        <f t="shared" si="16"/>
        <v>46848995.993799999</v>
      </c>
      <c r="P33" s="287">
        <f t="shared" si="16"/>
        <v>47618995.993799999</v>
      </c>
      <c r="Q33" s="292">
        <f t="shared" si="13"/>
        <v>521008791.68522787</v>
      </c>
    </row>
    <row r="34" spans="1:18" s="298" customFormat="1" ht="13.5" customHeight="1">
      <c r="B34" s="301"/>
      <c r="C34" s="301"/>
      <c r="D34" s="301"/>
      <c r="E34" s="302">
        <f>E33+F33</f>
        <v>80623831.747227997</v>
      </c>
      <c r="F34" s="302">
        <f t="shared" ref="F34:P34" si="17">F33+G33</f>
        <v>79837991.987599999</v>
      </c>
      <c r="G34" s="302">
        <f t="shared" si="17"/>
        <v>81377991.987599999</v>
      </c>
      <c r="H34" s="302">
        <f t="shared" si="17"/>
        <v>82917991.987599999</v>
      </c>
      <c r="I34" s="302">
        <f t="shared" si="17"/>
        <v>84842991.987599999</v>
      </c>
      <c r="J34" s="302">
        <f t="shared" si="17"/>
        <v>86767991.987599999</v>
      </c>
      <c r="K34" s="302">
        <f t="shared" si="17"/>
        <v>88307991.987599999</v>
      </c>
      <c r="L34" s="302">
        <f t="shared" si="17"/>
        <v>89847991.987599999</v>
      </c>
      <c r="M34" s="302">
        <f t="shared" si="17"/>
        <v>91387991.987599999</v>
      </c>
      <c r="N34" s="302">
        <f t="shared" si="17"/>
        <v>92927991.987599999</v>
      </c>
      <c r="O34" s="302">
        <f t="shared" si="17"/>
        <v>94467991.987599999</v>
      </c>
      <c r="P34" s="302">
        <f t="shared" si="17"/>
        <v>568627787.67902792</v>
      </c>
      <c r="Q34" s="303">
        <f t="shared" si="13"/>
        <v>1521936539.3022556</v>
      </c>
    </row>
    <row r="35" spans="1:18" s="298" customFormat="1" ht="13.5" hidden="1" customHeight="1">
      <c r="B35" s="299"/>
      <c r="C35" s="300"/>
      <c r="D35" s="301"/>
      <c r="E35" s="301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4"/>
    </row>
    <row r="36" spans="1:18" ht="13.5" hidden="1" customHeight="1">
      <c r="B36" s="282" t="s">
        <v>1844</v>
      </c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305"/>
      <c r="O36" s="10"/>
      <c r="P36" s="10"/>
      <c r="Q36" s="10" t="s">
        <v>890</v>
      </c>
    </row>
    <row r="37" spans="1:18" ht="13.5" hidden="1" customHeight="1">
      <c r="A37" s="15"/>
      <c r="B37" s="503" t="s">
        <v>1574</v>
      </c>
      <c r="C37" s="506" t="s">
        <v>118</v>
      </c>
      <c r="D37" s="507"/>
      <c r="E37" s="510" t="s">
        <v>53</v>
      </c>
      <c r="F37" s="511"/>
      <c r="G37" s="512"/>
      <c r="H37" s="510" t="s">
        <v>25</v>
      </c>
      <c r="I37" s="511"/>
      <c r="J37" s="512"/>
      <c r="K37" s="510" t="s">
        <v>28</v>
      </c>
      <c r="L37" s="511"/>
      <c r="M37" s="512"/>
      <c r="N37" s="510" t="s">
        <v>76</v>
      </c>
      <c r="O37" s="511"/>
      <c r="P37" s="512"/>
      <c r="Q37" s="503" t="s">
        <v>31</v>
      </c>
      <c r="R37" s="9"/>
    </row>
    <row r="38" spans="1:18" ht="13.5" hidden="1" customHeight="1">
      <c r="A38" s="15"/>
      <c r="B38" s="504"/>
      <c r="C38" s="508"/>
      <c r="D38" s="509"/>
      <c r="E38" s="277" t="s">
        <v>3</v>
      </c>
      <c r="F38" s="277" t="s">
        <v>4</v>
      </c>
      <c r="G38" s="277" t="s">
        <v>5</v>
      </c>
      <c r="H38" s="277" t="s">
        <v>6</v>
      </c>
      <c r="I38" s="277" t="s">
        <v>7</v>
      </c>
      <c r="J38" s="277" t="s">
        <v>8</v>
      </c>
      <c r="K38" s="277" t="s">
        <v>9</v>
      </c>
      <c r="L38" s="277" t="s">
        <v>10</v>
      </c>
      <c r="M38" s="277" t="s">
        <v>11</v>
      </c>
      <c r="N38" s="277" t="s">
        <v>12</v>
      </c>
      <c r="O38" s="277" t="s">
        <v>15</v>
      </c>
      <c r="P38" s="277" t="s">
        <v>16</v>
      </c>
      <c r="Q38" s="505"/>
      <c r="R38" s="9"/>
    </row>
    <row r="39" spans="1:18" ht="13.5" hidden="1" customHeight="1">
      <c r="A39" s="15"/>
      <c r="B39" s="504"/>
      <c r="C39" s="503" t="s">
        <v>116</v>
      </c>
      <c r="D39" s="104" t="s">
        <v>119</v>
      </c>
      <c r="E39" s="4">
        <v>3312763340</v>
      </c>
      <c r="F39" s="4">
        <v>3010833444</v>
      </c>
      <c r="G39" s="4">
        <v>3240008348</v>
      </c>
      <c r="H39" s="4">
        <v>3186827001</v>
      </c>
      <c r="I39" s="4">
        <v>3224933250</v>
      </c>
      <c r="J39" s="44">
        <v>3155902861</v>
      </c>
      <c r="K39" s="4">
        <v>3859664119</v>
      </c>
      <c r="L39" s="4">
        <v>3950507798</v>
      </c>
      <c r="M39" s="4">
        <v>3704671417</v>
      </c>
      <c r="N39" s="4">
        <v>3681777892</v>
      </c>
      <c r="O39" s="306">
        <v>3681777892</v>
      </c>
      <c r="P39" s="306">
        <v>4000000000</v>
      </c>
      <c r="Q39" s="4">
        <f>SUM(E39:P39)</f>
        <v>42009667362</v>
      </c>
      <c r="R39" s="9"/>
    </row>
    <row r="40" spans="1:18" ht="13.5" hidden="1" customHeight="1">
      <c r="A40" s="15"/>
      <c r="B40" s="504"/>
      <c r="C40" s="504"/>
      <c r="D40" s="104" t="s">
        <v>120</v>
      </c>
      <c r="E40" s="4">
        <v>1249109568</v>
      </c>
      <c r="F40" s="4">
        <v>1393467319</v>
      </c>
      <c r="G40" s="4">
        <v>1755085525</v>
      </c>
      <c r="H40" s="4">
        <v>1904109139</v>
      </c>
      <c r="I40" s="4">
        <v>1721262652</v>
      </c>
      <c r="J40" s="45">
        <v>1678784340</v>
      </c>
      <c r="K40" s="4">
        <v>2230562526</v>
      </c>
      <c r="L40" s="4">
        <v>2878438164</v>
      </c>
      <c r="M40" s="4">
        <v>3460984922</v>
      </c>
      <c r="N40" s="4">
        <v>3229691957</v>
      </c>
      <c r="O40" s="306">
        <v>3460984922</v>
      </c>
      <c r="P40" s="306">
        <v>3460984922</v>
      </c>
      <c r="Q40" s="4">
        <f t="shared" ref="Q40:Q57" si="18">SUM(E40:P40)</f>
        <v>28423465956</v>
      </c>
      <c r="R40" s="9"/>
    </row>
    <row r="41" spans="1:18" ht="13.5" hidden="1" customHeight="1">
      <c r="A41" s="15"/>
      <c r="B41" s="504"/>
      <c r="C41" s="504"/>
      <c r="D41" s="104" t="s">
        <v>121</v>
      </c>
      <c r="E41" s="4">
        <v>504538500</v>
      </c>
      <c r="F41" s="4">
        <v>525595600</v>
      </c>
      <c r="G41" s="4">
        <v>544440200</v>
      </c>
      <c r="H41" s="4">
        <v>620219800</v>
      </c>
      <c r="I41" s="4">
        <v>573780900</v>
      </c>
      <c r="J41" s="4">
        <v>667826900</v>
      </c>
      <c r="K41" s="4">
        <v>668086500</v>
      </c>
      <c r="L41" s="4">
        <v>762091200</v>
      </c>
      <c r="M41" s="4">
        <v>748639200</v>
      </c>
      <c r="N41" s="4">
        <v>519211800</v>
      </c>
      <c r="O41" s="306">
        <v>668086500</v>
      </c>
      <c r="P41" s="306">
        <v>668086500</v>
      </c>
      <c r="Q41" s="4">
        <f t="shared" si="18"/>
        <v>7470603600</v>
      </c>
      <c r="R41" s="9"/>
    </row>
    <row r="42" spans="1:18" ht="13.5" hidden="1" customHeight="1">
      <c r="A42" s="15"/>
      <c r="B42" s="504"/>
      <c r="C42" s="504"/>
      <c r="D42" s="104" t="s">
        <v>122</v>
      </c>
      <c r="E42" s="4">
        <v>4831200</v>
      </c>
      <c r="F42" s="4">
        <v>5115200</v>
      </c>
      <c r="G42" s="4">
        <v>4650600</v>
      </c>
      <c r="H42" s="4">
        <v>4789300</v>
      </c>
      <c r="I42" s="4">
        <v>4283000</v>
      </c>
      <c r="J42" s="4">
        <v>4852200</v>
      </c>
      <c r="K42" s="4">
        <v>6286000</v>
      </c>
      <c r="L42" s="4">
        <v>4797900</v>
      </c>
      <c r="M42" s="4">
        <v>5295800</v>
      </c>
      <c r="N42" s="4">
        <v>3987800</v>
      </c>
      <c r="O42" s="307">
        <v>3987800</v>
      </c>
      <c r="P42" s="306">
        <v>3987800</v>
      </c>
      <c r="Q42" s="4">
        <f t="shared" si="18"/>
        <v>56864600</v>
      </c>
      <c r="R42" s="9"/>
    </row>
    <row r="43" spans="1:18" ht="13.5" hidden="1" customHeight="1">
      <c r="A43" s="15"/>
      <c r="B43" s="504"/>
      <c r="C43" s="504"/>
      <c r="D43" s="104" t="s">
        <v>123</v>
      </c>
      <c r="E43" s="4">
        <v>989209305</v>
      </c>
      <c r="F43" s="4">
        <v>791666861</v>
      </c>
      <c r="G43" s="4">
        <v>1014154311</v>
      </c>
      <c r="H43" s="4">
        <v>1123973552</v>
      </c>
      <c r="I43" s="4">
        <v>1042743822</v>
      </c>
      <c r="J43" s="4">
        <v>823456678</v>
      </c>
      <c r="K43" s="4">
        <v>1149240968</v>
      </c>
      <c r="L43" s="4">
        <v>935511166</v>
      </c>
      <c r="M43" s="4">
        <v>815781252</v>
      </c>
      <c r="N43" s="4">
        <v>1220304085</v>
      </c>
      <c r="O43" s="306">
        <v>935511166</v>
      </c>
      <c r="P43" s="306">
        <v>935511166</v>
      </c>
      <c r="Q43" s="4">
        <f t="shared" si="18"/>
        <v>11777064332</v>
      </c>
      <c r="R43" s="9"/>
    </row>
    <row r="44" spans="1:18" ht="13.5" hidden="1" customHeight="1">
      <c r="A44" s="15"/>
      <c r="B44" s="504"/>
      <c r="C44" s="504"/>
      <c r="D44" s="46" t="s">
        <v>124</v>
      </c>
      <c r="E44" s="17">
        <v>47460300</v>
      </c>
      <c r="F44" s="17">
        <v>56494500</v>
      </c>
      <c r="G44" s="17">
        <v>94613400</v>
      </c>
      <c r="H44" s="4">
        <v>75177740</v>
      </c>
      <c r="I44" s="4">
        <v>77909600</v>
      </c>
      <c r="J44" s="4">
        <v>70423140</v>
      </c>
      <c r="K44" s="4">
        <v>83717280</v>
      </c>
      <c r="L44" s="4">
        <v>89182940</v>
      </c>
      <c r="M44" s="4">
        <v>89107680</v>
      </c>
      <c r="N44" s="4"/>
      <c r="O44" s="307"/>
      <c r="P44" s="306"/>
      <c r="Q44" s="4">
        <f t="shared" si="18"/>
        <v>684086580</v>
      </c>
      <c r="R44" s="9"/>
    </row>
    <row r="45" spans="1:18" ht="13.5" hidden="1" customHeight="1">
      <c r="A45" s="15"/>
      <c r="B45" s="504"/>
      <c r="C45" s="505"/>
      <c r="D45" s="277" t="s">
        <v>31</v>
      </c>
      <c r="E45" s="53">
        <f>SUM(E39:E44)</f>
        <v>6107912213</v>
      </c>
      <c r="F45" s="53">
        <f>SUM(F39:F44)</f>
        <v>5783172924</v>
      </c>
      <c r="G45" s="53">
        <f t="shared" ref="G45:H45" si="19">SUM(G39:G44)</f>
        <v>6652952384</v>
      </c>
      <c r="H45" s="53">
        <f t="shared" si="19"/>
        <v>6915096532</v>
      </c>
      <c r="I45" s="53">
        <f>SUM(I39:I44)</f>
        <v>6644913224</v>
      </c>
      <c r="J45" s="53">
        <f>SUM(J39:J44)</f>
        <v>6401246119</v>
      </c>
      <c r="K45" s="53">
        <f>SUM(K39:K44)</f>
        <v>7997557393</v>
      </c>
      <c r="L45" s="53">
        <f t="shared" ref="L45:M45" si="20">SUM(L39:L44)</f>
        <v>8620529168</v>
      </c>
      <c r="M45" s="53">
        <f t="shared" si="20"/>
        <v>8824480271</v>
      </c>
      <c r="N45" s="53">
        <v>8654973534</v>
      </c>
      <c r="O45" s="308">
        <v>8750348280</v>
      </c>
      <c r="P45" s="308">
        <v>9068570388</v>
      </c>
      <c r="Q45" s="53">
        <f t="shared" si="18"/>
        <v>90421752430</v>
      </c>
      <c r="R45" s="9"/>
    </row>
    <row r="46" spans="1:18" ht="13.5" hidden="1" customHeight="1">
      <c r="A46" s="15"/>
      <c r="B46" s="504"/>
      <c r="C46" s="503" t="s">
        <v>125</v>
      </c>
      <c r="D46" s="104" t="s">
        <v>126</v>
      </c>
      <c r="E46" s="4">
        <v>31132644</v>
      </c>
      <c r="F46" s="45">
        <v>28220209</v>
      </c>
      <c r="G46" s="4">
        <v>30196763</v>
      </c>
      <c r="H46" s="4">
        <v>29894974</v>
      </c>
      <c r="I46" s="4">
        <v>30472518</v>
      </c>
      <c r="J46" s="44">
        <v>29770450</v>
      </c>
      <c r="K46" s="4">
        <v>36594438</v>
      </c>
      <c r="L46" s="4">
        <v>37692307</v>
      </c>
      <c r="M46" s="4">
        <v>34919888</v>
      </c>
      <c r="N46" s="4">
        <v>34867206</v>
      </c>
      <c r="O46" s="307">
        <v>34867206</v>
      </c>
      <c r="P46" s="306">
        <v>39700000</v>
      </c>
      <c r="Q46" s="4">
        <f t="shared" si="18"/>
        <v>398328603</v>
      </c>
      <c r="R46" s="9"/>
    </row>
    <row r="47" spans="1:18" ht="13.5" hidden="1" customHeight="1">
      <c r="A47" s="15"/>
      <c r="B47" s="504"/>
      <c r="C47" s="504"/>
      <c r="D47" s="104" t="s">
        <v>127</v>
      </c>
      <c r="E47" s="4">
        <v>9259475</v>
      </c>
      <c r="F47" s="4">
        <v>10503913</v>
      </c>
      <c r="G47" s="4">
        <v>11933622</v>
      </c>
      <c r="H47" s="4">
        <v>13372362</v>
      </c>
      <c r="I47" s="4">
        <v>12786534</v>
      </c>
      <c r="J47" s="44">
        <v>12780033</v>
      </c>
      <c r="K47" s="4">
        <v>17010846</v>
      </c>
      <c r="L47" s="4">
        <v>18966145</v>
      </c>
      <c r="M47" s="4">
        <v>23525925</v>
      </c>
      <c r="N47" s="4">
        <v>21351072</v>
      </c>
      <c r="O47" s="306">
        <v>23525925</v>
      </c>
      <c r="P47" s="306">
        <v>23525925</v>
      </c>
      <c r="Q47" s="4">
        <f t="shared" si="18"/>
        <v>198541777</v>
      </c>
      <c r="R47" s="9"/>
    </row>
    <row r="48" spans="1:18" ht="13.5" hidden="1" customHeight="1">
      <c r="A48" s="15"/>
      <c r="B48" s="504"/>
      <c r="C48" s="504"/>
      <c r="D48" s="104" t="s">
        <v>128</v>
      </c>
      <c r="E48" s="4">
        <v>2531244</v>
      </c>
      <c r="F48" s="4">
        <v>2636886</v>
      </c>
      <c r="G48" s="4">
        <v>2731428</v>
      </c>
      <c r="H48" s="4">
        <v>3111611</v>
      </c>
      <c r="I48" s="4">
        <v>2878629</v>
      </c>
      <c r="J48" s="3">
        <v>3350453</v>
      </c>
      <c r="K48" s="4">
        <v>3351756</v>
      </c>
      <c r="L48" s="4">
        <v>3823372</v>
      </c>
      <c r="M48" s="4">
        <v>3755884</v>
      </c>
      <c r="N48" s="4">
        <v>2604859</v>
      </c>
      <c r="O48" s="307">
        <v>2604859</v>
      </c>
      <c r="P48" s="306">
        <v>2604859</v>
      </c>
      <c r="Q48" s="4">
        <f t="shared" si="18"/>
        <v>35985840</v>
      </c>
      <c r="R48" s="9"/>
    </row>
    <row r="49" spans="1:18" ht="13.5" hidden="1" customHeight="1">
      <c r="A49" s="15"/>
      <c r="B49" s="504"/>
      <c r="C49" s="504"/>
      <c r="D49" s="104" t="s">
        <v>129</v>
      </c>
      <c r="E49" s="4">
        <v>60076</v>
      </c>
      <c r="F49" s="4">
        <v>63611</v>
      </c>
      <c r="G49" s="4">
        <v>57714</v>
      </c>
      <c r="H49" s="4">
        <v>59474</v>
      </c>
      <c r="I49" s="4">
        <v>53090</v>
      </c>
      <c r="J49" s="3">
        <v>60183</v>
      </c>
      <c r="K49" s="4">
        <v>77897</v>
      </c>
      <c r="L49" s="4">
        <v>59424</v>
      </c>
      <c r="M49" s="4">
        <v>65729</v>
      </c>
      <c r="N49" s="4">
        <v>49489</v>
      </c>
      <c r="O49" s="307">
        <v>49489</v>
      </c>
      <c r="P49" s="306">
        <v>49489</v>
      </c>
      <c r="Q49" s="4">
        <f t="shared" si="18"/>
        <v>705665</v>
      </c>
      <c r="R49" s="9"/>
    </row>
    <row r="50" spans="1:18" ht="13.5" hidden="1" customHeight="1">
      <c r="A50" s="15"/>
      <c r="B50" s="504"/>
      <c r="C50" s="504"/>
      <c r="D50" s="104" t="s">
        <v>130</v>
      </c>
      <c r="E50" s="4">
        <v>3665919</v>
      </c>
      <c r="F50" s="4">
        <v>2968270</v>
      </c>
      <c r="G50" s="4">
        <v>4056496</v>
      </c>
      <c r="H50" s="4">
        <v>4495761</v>
      </c>
      <c r="I50" s="4">
        <v>4170854</v>
      </c>
      <c r="J50" s="3">
        <v>3293698</v>
      </c>
      <c r="K50" s="4">
        <v>4596834</v>
      </c>
      <c r="L50" s="4">
        <v>3741917</v>
      </c>
      <c r="M50" s="4">
        <v>3263001</v>
      </c>
      <c r="N50" s="4">
        <v>4881086</v>
      </c>
      <c r="O50" s="306">
        <v>3741917</v>
      </c>
      <c r="P50" s="306">
        <v>3741917</v>
      </c>
      <c r="Q50" s="4">
        <f t="shared" si="18"/>
        <v>46617670</v>
      </c>
      <c r="R50" s="9"/>
    </row>
    <row r="51" spans="1:18" ht="13.5" hidden="1" customHeight="1">
      <c r="A51" s="15"/>
      <c r="B51" s="504"/>
      <c r="C51" s="504"/>
      <c r="D51" s="104" t="s">
        <v>1845</v>
      </c>
      <c r="E51" s="4"/>
      <c r="F51" s="4"/>
      <c r="G51" s="4"/>
      <c r="H51" s="4"/>
      <c r="I51" s="4"/>
      <c r="J51" s="3"/>
      <c r="K51" s="4"/>
      <c r="L51" s="4"/>
      <c r="M51" s="4"/>
      <c r="N51" s="4"/>
      <c r="O51" s="307"/>
      <c r="P51" s="306"/>
      <c r="Q51" s="4"/>
      <c r="R51" s="9"/>
    </row>
    <row r="52" spans="1:18" ht="13.5" hidden="1" customHeight="1">
      <c r="A52" s="15"/>
      <c r="B52" s="504"/>
      <c r="C52" s="504"/>
      <c r="D52" s="46" t="s">
        <v>131</v>
      </c>
      <c r="E52" s="17">
        <v>325682.43181818066</v>
      </c>
      <c r="F52" s="16">
        <v>352486</v>
      </c>
      <c r="G52" s="16">
        <v>612008</v>
      </c>
      <c r="H52" s="4">
        <v>583412</v>
      </c>
      <c r="I52" s="4">
        <v>542660.98295454565</v>
      </c>
      <c r="J52" s="4">
        <v>381979.4090909083</v>
      </c>
      <c r="K52" s="4">
        <v>408593</v>
      </c>
      <c r="L52" s="4">
        <v>352986</v>
      </c>
      <c r="M52" s="4">
        <v>383284.69999999995</v>
      </c>
      <c r="N52" s="4">
        <v>1190909</v>
      </c>
      <c r="O52" s="307">
        <v>900000</v>
      </c>
      <c r="P52" s="307">
        <v>900000</v>
      </c>
      <c r="Q52" s="4">
        <f t="shared" si="18"/>
        <v>6934001.523863635</v>
      </c>
      <c r="R52" s="9"/>
    </row>
    <row r="53" spans="1:18" ht="13.5" hidden="1" customHeight="1">
      <c r="A53" s="15"/>
      <c r="B53" s="504"/>
      <c r="C53" s="505"/>
      <c r="D53" s="277" t="s">
        <v>31</v>
      </c>
      <c r="E53" s="53">
        <f>SUM(E46:E52)</f>
        <v>46975040.43181818</v>
      </c>
      <c r="F53" s="53">
        <f t="shared" ref="F53:H53" si="21">SUM(F46:F52)</f>
        <v>44745375</v>
      </c>
      <c r="G53" s="53">
        <f t="shared" si="21"/>
        <v>49588031</v>
      </c>
      <c r="H53" s="53">
        <f t="shared" si="21"/>
        <v>51517594</v>
      </c>
      <c r="I53" s="53">
        <f>SUM(I46:I52)</f>
        <v>50904285.982954547</v>
      </c>
      <c r="J53" s="53">
        <f>SUM(J46:J52)</f>
        <v>49636796.409090906</v>
      </c>
      <c r="K53" s="53">
        <f>SUM(K46:K52)</f>
        <v>62040364</v>
      </c>
      <c r="L53" s="53">
        <f t="shared" ref="L53" si="22">SUM(L46:L52)</f>
        <v>64636151</v>
      </c>
      <c r="M53" s="53">
        <f>SUM(M46:M52)</f>
        <v>65913711.700000003</v>
      </c>
      <c r="N53" s="53">
        <v>64944621</v>
      </c>
      <c r="O53" s="308">
        <v>65689396</v>
      </c>
      <c r="P53" s="308">
        <v>70522190</v>
      </c>
      <c r="Q53" s="53">
        <f t="shared" si="18"/>
        <v>687113556.52386355</v>
      </c>
      <c r="R53" s="9"/>
    </row>
    <row r="54" spans="1:18" ht="13.5" hidden="1" customHeight="1">
      <c r="A54" s="15"/>
      <c r="B54" s="504"/>
      <c r="C54" s="503" t="s">
        <v>132</v>
      </c>
      <c r="D54" s="104" t="s">
        <v>133</v>
      </c>
      <c r="E54" s="4">
        <v>1513615</v>
      </c>
      <c r="F54" s="4">
        <v>1576786</v>
      </c>
      <c r="G54" s="4">
        <v>1633320</v>
      </c>
      <c r="H54" s="4">
        <v>1860659</v>
      </c>
      <c r="I54" s="4">
        <v>1721342</v>
      </c>
      <c r="J54" s="3">
        <v>2003480</v>
      </c>
      <c r="K54" s="4">
        <v>2004259</v>
      </c>
      <c r="L54" s="4">
        <v>2286273</v>
      </c>
      <c r="M54" s="4">
        <v>2245917</v>
      </c>
      <c r="N54" s="4">
        <v>1557635</v>
      </c>
      <c r="O54" s="306">
        <v>2004259</v>
      </c>
      <c r="P54" s="306">
        <v>2004259</v>
      </c>
      <c r="Q54" s="4">
        <f t="shared" si="18"/>
        <v>22411804</v>
      </c>
      <c r="R54" s="9"/>
    </row>
    <row r="55" spans="1:18" ht="13.5" hidden="1" customHeight="1">
      <c r="A55" s="15"/>
      <c r="B55" s="504"/>
      <c r="C55" s="504"/>
      <c r="D55" s="104" t="s">
        <v>134</v>
      </c>
      <c r="E55" s="4">
        <v>22616499</v>
      </c>
      <c r="F55" s="4">
        <v>21205280</v>
      </c>
      <c r="G55" s="4">
        <v>22695830</v>
      </c>
      <c r="H55" s="4">
        <v>23106406</v>
      </c>
      <c r="I55" s="4">
        <v>23370982</v>
      </c>
      <c r="J55" s="3">
        <v>23010164</v>
      </c>
      <c r="K55" s="4">
        <v>28912087</v>
      </c>
      <c r="L55" s="4">
        <v>29073296</v>
      </c>
      <c r="M55" s="4">
        <v>29505845</v>
      </c>
      <c r="N55" s="4">
        <v>28215661</v>
      </c>
      <c r="O55" s="306">
        <v>28215661</v>
      </c>
      <c r="P55" s="306">
        <v>31116724</v>
      </c>
      <c r="Q55" s="4">
        <f t="shared" si="18"/>
        <v>311044435</v>
      </c>
      <c r="R55" s="9"/>
    </row>
    <row r="56" spans="1:18" ht="13.5" hidden="1" customHeight="1">
      <c r="A56" s="15"/>
      <c r="B56" s="504"/>
      <c r="C56" s="504"/>
      <c r="D56" s="104" t="s">
        <v>135</v>
      </c>
      <c r="E56" s="4">
        <v>6487</v>
      </c>
      <c r="F56" s="4">
        <v>3364</v>
      </c>
      <c r="G56" s="4">
        <v>227679</v>
      </c>
      <c r="H56" s="4">
        <v>239370</v>
      </c>
      <c r="I56" s="4">
        <v>175779</v>
      </c>
      <c r="J56" s="4">
        <v>108465</v>
      </c>
      <c r="K56" s="4">
        <v>9558</v>
      </c>
      <c r="L56" s="4">
        <v>48378</v>
      </c>
      <c r="M56" s="4">
        <v>223759</v>
      </c>
      <c r="N56" s="4">
        <v>165480</v>
      </c>
      <c r="O56" s="306">
        <v>223759</v>
      </c>
      <c r="P56" s="306">
        <v>108465</v>
      </c>
      <c r="Q56" s="4">
        <f t="shared" si="18"/>
        <v>1540543</v>
      </c>
      <c r="R56" s="9"/>
    </row>
    <row r="57" spans="1:18" ht="13.5" hidden="1" customHeight="1">
      <c r="A57" s="15"/>
      <c r="B57" s="504"/>
      <c r="C57" s="505"/>
      <c r="D57" s="277" t="s">
        <v>31</v>
      </c>
      <c r="E57" s="53">
        <f t="shared" ref="E57:M57" si="23">SUM(E54:E56)</f>
        <v>24136601</v>
      </c>
      <c r="F57" s="53">
        <f t="shared" si="23"/>
        <v>22785430</v>
      </c>
      <c r="G57" s="53">
        <f t="shared" si="23"/>
        <v>24556829</v>
      </c>
      <c r="H57" s="53">
        <f t="shared" si="23"/>
        <v>25206435</v>
      </c>
      <c r="I57" s="53">
        <f t="shared" si="23"/>
        <v>25268103</v>
      </c>
      <c r="J57" s="53">
        <f t="shared" si="23"/>
        <v>25122109</v>
      </c>
      <c r="K57" s="53">
        <f t="shared" si="23"/>
        <v>30925904</v>
      </c>
      <c r="L57" s="53">
        <f t="shared" si="23"/>
        <v>31407947</v>
      </c>
      <c r="M57" s="53">
        <f t="shared" si="23"/>
        <v>31975521</v>
      </c>
      <c r="N57" s="53">
        <v>29938776</v>
      </c>
      <c r="O57" s="308">
        <v>30443679</v>
      </c>
      <c r="P57" s="308">
        <v>33229448</v>
      </c>
      <c r="Q57" s="53">
        <f t="shared" si="18"/>
        <v>334996782</v>
      </c>
      <c r="R57" s="9"/>
    </row>
    <row r="58" spans="1:18" ht="13.5" hidden="1" customHeight="1">
      <c r="A58" s="15"/>
      <c r="B58" s="504"/>
      <c r="C58" s="503" t="s">
        <v>136</v>
      </c>
      <c r="D58" s="104" t="s">
        <v>137</v>
      </c>
      <c r="E58" s="16">
        <f>E46+E47+E48+E50+E49+-E54-E55-E56</f>
        <v>22512757</v>
      </c>
      <c r="F58" s="16">
        <f t="shared" ref="F58:K58" si="24">F46+F47+F48+F50+F49+-F54-F55-F56</f>
        <v>21607459</v>
      </c>
      <c r="G58" s="16">
        <f t="shared" si="24"/>
        <v>24419194</v>
      </c>
      <c r="H58" s="16">
        <v>25727747</v>
      </c>
      <c r="I58" s="16">
        <f t="shared" ref="I58:J58" si="25">I60-I52</f>
        <v>25093522</v>
      </c>
      <c r="J58" s="16">
        <f t="shared" si="25"/>
        <v>24132707.999999996</v>
      </c>
      <c r="K58" s="16">
        <f t="shared" si="24"/>
        <v>30705867</v>
      </c>
      <c r="L58" s="16">
        <f t="shared" ref="L58:M58" si="26">L60-L52</f>
        <v>32875218</v>
      </c>
      <c r="M58" s="16">
        <f t="shared" si="26"/>
        <v>33554906</v>
      </c>
      <c r="N58" s="16">
        <v>35005845</v>
      </c>
      <c r="O58" s="309">
        <v>35245717</v>
      </c>
      <c r="P58" s="309">
        <v>37292742</v>
      </c>
      <c r="Q58" s="16">
        <f>SUM(E58:P58)</f>
        <v>348173682</v>
      </c>
      <c r="R58" s="9"/>
    </row>
    <row r="59" spans="1:18" ht="13.5" hidden="1" customHeight="1">
      <c r="A59" s="15"/>
      <c r="B59" s="504"/>
      <c r="C59" s="504"/>
      <c r="D59" s="104" t="s">
        <v>117</v>
      </c>
      <c r="E59" s="16">
        <f t="shared" ref="E59:M59" si="27">E52</f>
        <v>325682.43181818066</v>
      </c>
      <c r="F59" s="16">
        <v>352486</v>
      </c>
      <c r="G59" s="16">
        <v>612008</v>
      </c>
      <c r="H59" s="16">
        <v>583412</v>
      </c>
      <c r="I59" s="16">
        <f t="shared" ref="I59:J59" si="28">I52</f>
        <v>542660.98295454565</v>
      </c>
      <c r="J59" s="16">
        <f t="shared" si="28"/>
        <v>381979.4090909083</v>
      </c>
      <c r="K59" s="16">
        <f t="shared" si="27"/>
        <v>408593</v>
      </c>
      <c r="L59" s="16">
        <f t="shared" si="27"/>
        <v>352986</v>
      </c>
      <c r="M59" s="16">
        <f t="shared" si="27"/>
        <v>383284.69999999995</v>
      </c>
      <c r="N59" s="16">
        <v>0</v>
      </c>
      <c r="O59" s="309">
        <v>0</v>
      </c>
      <c r="P59" s="309">
        <v>0</v>
      </c>
      <c r="Q59" s="16">
        <f>SUM(E59:P59)</f>
        <v>3943092.523863635</v>
      </c>
      <c r="R59" s="9"/>
    </row>
    <row r="60" spans="1:18" ht="13.5" hidden="1" customHeight="1">
      <c r="A60" s="15"/>
      <c r="B60" s="504"/>
      <c r="C60" s="504"/>
      <c r="D60" s="277" t="s">
        <v>31</v>
      </c>
      <c r="E60" s="53">
        <f>E58+E59</f>
        <v>22838439.43181818</v>
      </c>
      <c r="F60" s="53">
        <f t="shared" ref="F60:K60" si="29">F58+F59</f>
        <v>21959945</v>
      </c>
      <c r="G60" s="53">
        <f t="shared" si="29"/>
        <v>25031202</v>
      </c>
      <c r="H60" s="53">
        <f t="shared" si="29"/>
        <v>26311159</v>
      </c>
      <c r="I60" s="53">
        <f t="shared" ref="I60" si="30">SUM(I53-I57)</f>
        <v>25636182.982954547</v>
      </c>
      <c r="J60" s="53">
        <f t="shared" ref="J60" si="31">SUM(J53-J57)</f>
        <v>24514687.409090906</v>
      </c>
      <c r="K60" s="53">
        <f t="shared" si="29"/>
        <v>31114460</v>
      </c>
      <c r="L60" s="53">
        <f t="shared" ref="L60:P60" si="32">SUM(L53-L57)</f>
        <v>33228204</v>
      </c>
      <c r="M60" s="53">
        <f t="shared" si="32"/>
        <v>33938190.700000003</v>
      </c>
      <c r="N60" s="53">
        <f t="shared" si="32"/>
        <v>35005845</v>
      </c>
      <c r="O60" s="308">
        <f t="shared" si="32"/>
        <v>35245717</v>
      </c>
      <c r="P60" s="308">
        <f t="shared" si="32"/>
        <v>37292742</v>
      </c>
      <c r="Q60" s="53">
        <f>SUM(E60:P60)</f>
        <v>352116774.52386361</v>
      </c>
      <c r="R60" s="9"/>
    </row>
    <row r="61" spans="1:18" ht="13.5" hidden="1" customHeight="1">
      <c r="A61" s="15"/>
      <c r="B61" s="505"/>
      <c r="C61" s="505"/>
      <c r="D61" s="104" t="s">
        <v>69</v>
      </c>
      <c r="E61" s="37">
        <f t="shared" ref="E61:Q61" si="33">E60/E8</f>
        <v>1.1090427183646097</v>
      </c>
      <c r="F61" s="37">
        <f t="shared" si="33"/>
        <v>1.0215030023391312</v>
      </c>
      <c r="G61" s="37">
        <f t="shared" si="33"/>
        <v>1.1173431467808728</v>
      </c>
      <c r="H61" s="37">
        <f t="shared" si="33"/>
        <v>1.1288864044441977</v>
      </c>
      <c r="I61" s="37">
        <f t="shared" si="33"/>
        <v>1.0588244156488056</v>
      </c>
      <c r="J61" s="37">
        <f t="shared" si="33"/>
        <v>0.96905074070987607</v>
      </c>
      <c r="K61" s="37">
        <f t="shared" si="33"/>
        <v>1.0896429292403695</v>
      </c>
      <c r="L61" s="37">
        <f t="shared" si="33"/>
        <v>1.1279290614854454</v>
      </c>
      <c r="M61" s="37">
        <f t="shared" si="33"/>
        <v>1.1177029791837183</v>
      </c>
      <c r="N61" s="37">
        <f t="shared" si="33"/>
        <v>1.1326157186866113</v>
      </c>
      <c r="O61" s="37">
        <f t="shared" si="33"/>
        <v>1.133739147393203</v>
      </c>
      <c r="P61" s="37">
        <f t="shared" si="33"/>
        <v>1.1722916164718573</v>
      </c>
      <c r="Q61" s="37">
        <f t="shared" si="33"/>
        <v>1.1021036129780353</v>
      </c>
      <c r="R61" s="9"/>
    </row>
    <row r="62" spans="1:18" s="230" customFormat="1" ht="13.5" customHeight="1">
      <c r="B62" s="224"/>
      <c r="C62" s="224"/>
      <c r="D62" s="224"/>
      <c r="E62" s="225">
        <f>SUM(E60:G60)</f>
        <v>69829586.431818187</v>
      </c>
      <c r="F62" s="226"/>
      <c r="G62" s="227"/>
      <c r="H62" s="226">
        <f>SUM(H60:J60)</f>
        <v>76462029.392045453</v>
      </c>
      <c r="I62" s="226"/>
      <c r="J62" s="224"/>
      <c r="K62" s="228">
        <f>SUM(K60:M60)</f>
        <v>98280854.700000003</v>
      </c>
      <c r="L62" s="229"/>
      <c r="M62" s="224"/>
      <c r="N62" s="228">
        <f>SUM(N60:P60)</f>
        <v>107544304</v>
      </c>
      <c r="O62" s="224"/>
      <c r="P62" s="224"/>
      <c r="Q62" s="224"/>
    </row>
    <row r="63" spans="1:18">
      <c r="B63" s="293" t="s">
        <v>1846</v>
      </c>
      <c r="C63" s="294"/>
      <c r="D63" s="295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 t="s">
        <v>890</v>
      </c>
    </row>
    <row r="64" spans="1:18">
      <c r="B64" s="502" t="s">
        <v>1847</v>
      </c>
      <c r="C64" s="502" t="s">
        <v>1578</v>
      </c>
      <c r="D64" s="502"/>
      <c r="E64" s="276" t="s">
        <v>3</v>
      </c>
      <c r="F64" s="276" t="s">
        <v>4</v>
      </c>
      <c r="G64" s="276" t="s">
        <v>5</v>
      </c>
      <c r="H64" s="276" t="s">
        <v>6</v>
      </c>
      <c r="I64" s="276" t="s">
        <v>7</v>
      </c>
      <c r="J64" s="276" t="s">
        <v>8</v>
      </c>
      <c r="K64" s="276" t="s">
        <v>9</v>
      </c>
      <c r="L64" s="276" t="s">
        <v>10</v>
      </c>
      <c r="M64" s="276" t="s">
        <v>11</v>
      </c>
      <c r="N64" s="276" t="s">
        <v>12</v>
      </c>
      <c r="O64" s="276" t="s">
        <v>15</v>
      </c>
      <c r="P64" s="276" t="s">
        <v>16</v>
      </c>
      <c r="Q64" s="276" t="s">
        <v>2</v>
      </c>
    </row>
    <row r="65" spans="2:17">
      <c r="B65" s="502"/>
      <c r="C65" s="497" t="s">
        <v>1848</v>
      </c>
      <c r="D65" s="276" t="s">
        <v>67</v>
      </c>
      <c r="E65" s="283">
        <v>1000000000</v>
      </c>
      <c r="F65" s="283">
        <v>200000000</v>
      </c>
      <c r="G65" s="283">
        <v>200000000</v>
      </c>
      <c r="H65" s="283">
        <v>200000000</v>
      </c>
      <c r="I65" s="283">
        <v>200000000</v>
      </c>
      <c r="J65" s="283">
        <v>300000000</v>
      </c>
      <c r="K65" s="283">
        <v>200000000</v>
      </c>
      <c r="L65" s="283">
        <v>200000000</v>
      </c>
      <c r="M65" s="283">
        <v>200000000</v>
      </c>
      <c r="N65" s="283">
        <v>200000000</v>
      </c>
      <c r="O65" s="283">
        <v>200000000</v>
      </c>
      <c r="P65" s="283">
        <v>200000000</v>
      </c>
      <c r="Q65" s="290">
        <v>3300000000</v>
      </c>
    </row>
    <row r="66" spans="2:17">
      <c r="B66" s="502"/>
      <c r="C66" s="498"/>
      <c r="D66" s="276" t="s">
        <v>68</v>
      </c>
      <c r="E66" s="310"/>
      <c r="F66" s="310"/>
      <c r="G66" s="310"/>
      <c r="H66" s="310"/>
      <c r="I66" s="310"/>
      <c r="J66" s="310"/>
      <c r="K66" s="310"/>
      <c r="L66" s="310"/>
      <c r="M66" s="310"/>
      <c r="N66" s="310"/>
      <c r="O66" s="310"/>
      <c r="P66" s="310"/>
      <c r="Q66" s="311"/>
    </row>
    <row r="67" spans="2:17">
      <c r="B67" s="502"/>
      <c r="C67" s="498"/>
      <c r="D67" s="276" t="s">
        <v>69</v>
      </c>
      <c r="E67" s="310"/>
      <c r="F67" s="310"/>
      <c r="G67" s="310"/>
      <c r="H67" s="310"/>
      <c r="I67" s="310"/>
      <c r="J67" s="310"/>
      <c r="K67" s="310"/>
      <c r="L67" s="310"/>
      <c r="M67" s="310"/>
      <c r="N67" s="310"/>
      <c r="O67" s="310"/>
      <c r="P67" s="310"/>
      <c r="Q67" s="311"/>
    </row>
    <row r="68" spans="2:17" hidden="1">
      <c r="B68" s="502"/>
      <c r="C68" s="498"/>
      <c r="D68" s="276" t="s">
        <v>1849</v>
      </c>
      <c r="E68" s="310" t="s">
        <v>100</v>
      </c>
      <c r="F68" s="310" t="s">
        <v>1850</v>
      </c>
      <c r="G68" s="310" t="s">
        <v>36</v>
      </c>
      <c r="H68" s="310" t="s">
        <v>1850</v>
      </c>
      <c r="I68" s="310" t="s">
        <v>1851</v>
      </c>
      <c r="J68" s="310" t="s">
        <v>58</v>
      </c>
      <c r="K68" s="310" t="s">
        <v>1852</v>
      </c>
      <c r="L68" s="310" t="s">
        <v>1852</v>
      </c>
      <c r="M68" s="310" t="s">
        <v>1852</v>
      </c>
      <c r="N68" s="310" t="s">
        <v>1853</v>
      </c>
      <c r="O68" s="310" t="s">
        <v>1854</v>
      </c>
      <c r="P68" s="310" t="s">
        <v>1855</v>
      </c>
      <c r="Q68" s="311"/>
    </row>
    <row r="69" spans="2:17" hidden="1">
      <c r="B69" s="502"/>
      <c r="C69" s="499"/>
      <c r="D69" s="276" t="s">
        <v>1856</v>
      </c>
      <c r="E69" s="310" t="s">
        <v>1857</v>
      </c>
      <c r="F69" s="310" t="s">
        <v>1858</v>
      </c>
      <c r="G69" s="310" t="s">
        <v>1859</v>
      </c>
      <c r="H69" s="310" t="s">
        <v>111</v>
      </c>
      <c r="I69" s="310" t="s">
        <v>1509</v>
      </c>
      <c r="J69" s="310" t="s">
        <v>1860</v>
      </c>
      <c r="K69" s="310" t="s">
        <v>906</v>
      </c>
      <c r="L69" s="310" t="s">
        <v>1861</v>
      </c>
      <c r="M69" s="310" t="s">
        <v>1862</v>
      </c>
      <c r="N69" s="310" t="s">
        <v>1658</v>
      </c>
      <c r="O69" s="310" t="s">
        <v>1465</v>
      </c>
      <c r="P69" s="310" t="s">
        <v>1473</v>
      </c>
      <c r="Q69" s="311"/>
    </row>
    <row r="70" spans="2:17">
      <c r="B70" s="502"/>
      <c r="C70" s="502" t="s">
        <v>1863</v>
      </c>
      <c r="D70" s="276" t="s">
        <v>67</v>
      </c>
      <c r="E70" s="283">
        <v>1000000000</v>
      </c>
      <c r="F70" s="283">
        <v>1100000000</v>
      </c>
      <c r="G70" s="283">
        <v>1300000000</v>
      </c>
      <c r="H70" s="283">
        <v>1500000000</v>
      </c>
      <c r="I70" s="283">
        <v>1800000000</v>
      </c>
      <c r="J70" s="283">
        <v>2100000000</v>
      </c>
      <c r="K70" s="283">
        <v>2300000000</v>
      </c>
      <c r="L70" s="283">
        <v>2500000000</v>
      </c>
      <c r="M70" s="283">
        <v>2700000000</v>
      </c>
      <c r="N70" s="283">
        <v>2900000000</v>
      </c>
      <c r="O70" s="283">
        <v>3100000000</v>
      </c>
      <c r="P70" s="283">
        <v>3300000000</v>
      </c>
      <c r="Q70" s="290">
        <v>24150000000</v>
      </c>
    </row>
    <row r="71" spans="2:17">
      <c r="B71" s="502"/>
      <c r="C71" s="502"/>
      <c r="D71" s="285" t="s">
        <v>68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291"/>
    </row>
    <row r="72" spans="2:17">
      <c r="B72" s="502"/>
      <c r="C72" s="502"/>
      <c r="D72" s="285" t="s">
        <v>69</v>
      </c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91"/>
    </row>
    <row r="73" spans="2:17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2:17">
      <c r="B74" s="312" t="s">
        <v>1864</v>
      </c>
      <c r="C74" s="294"/>
      <c r="D74" s="295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 t="s">
        <v>890</v>
      </c>
    </row>
    <row r="75" spans="2:17" ht="10.5" customHeight="1">
      <c r="B75" s="502" t="s">
        <v>1847</v>
      </c>
      <c r="C75" s="502" t="s">
        <v>1578</v>
      </c>
      <c r="D75" s="502"/>
      <c r="E75" s="276" t="s">
        <v>3</v>
      </c>
      <c r="F75" s="276" t="s">
        <v>4</v>
      </c>
      <c r="G75" s="276" t="s">
        <v>5</v>
      </c>
      <c r="H75" s="276" t="s">
        <v>6</v>
      </c>
      <c r="I75" s="276" t="s">
        <v>7</v>
      </c>
      <c r="J75" s="276" t="s">
        <v>8</v>
      </c>
      <c r="K75" s="276" t="s">
        <v>9</v>
      </c>
      <c r="L75" s="276" t="s">
        <v>10</v>
      </c>
      <c r="M75" s="276" t="s">
        <v>11</v>
      </c>
      <c r="N75" s="276" t="s">
        <v>12</v>
      </c>
      <c r="O75" s="276" t="s">
        <v>15</v>
      </c>
      <c r="P75" s="276" t="s">
        <v>16</v>
      </c>
      <c r="Q75" s="276" t="s">
        <v>2</v>
      </c>
    </row>
    <row r="76" spans="2:17">
      <c r="B76" s="502"/>
      <c r="C76" s="502" t="s">
        <v>1848</v>
      </c>
      <c r="D76" s="276" t="s">
        <v>67</v>
      </c>
      <c r="E76" s="310">
        <v>200000000</v>
      </c>
      <c r="F76" s="310">
        <v>50000000</v>
      </c>
      <c r="G76" s="310">
        <v>500000000</v>
      </c>
      <c r="H76" s="310">
        <v>50000000</v>
      </c>
      <c r="I76" s="310">
        <v>400000000</v>
      </c>
      <c r="J76" s="310">
        <v>400000000</v>
      </c>
      <c r="K76" s="310">
        <v>100000000</v>
      </c>
      <c r="L76" s="310">
        <v>100000000</v>
      </c>
      <c r="M76" s="310">
        <v>100000000</v>
      </c>
      <c r="N76" s="310">
        <v>100000000</v>
      </c>
      <c r="O76" s="310">
        <v>100000000</v>
      </c>
      <c r="P76" s="310">
        <v>100000000</v>
      </c>
      <c r="Q76" s="311">
        <f>SUM(E76:P76)</f>
        <v>2200000000</v>
      </c>
    </row>
    <row r="77" spans="2:17">
      <c r="B77" s="502"/>
      <c r="C77" s="502"/>
      <c r="D77" s="276" t="s">
        <v>68</v>
      </c>
      <c r="E77" s="310"/>
      <c r="F77" s="310"/>
      <c r="G77" s="310"/>
      <c r="H77" s="310"/>
      <c r="I77" s="310"/>
      <c r="J77" s="310"/>
      <c r="K77" s="310"/>
      <c r="L77" s="310"/>
      <c r="M77" s="310"/>
      <c r="N77" s="310"/>
      <c r="O77" s="310"/>
      <c r="P77" s="310"/>
      <c r="Q77" s="311"/>
    </row>
    <row r="78" spans="2:17">
      <c r="B78" s="502"/>
      <c r="C78" s="502"/>
      <c r="D78" s="276" t="s">
        <v>69</v>
      </c>
      <c r="E78" s="310"/>
      <c r="F78" s="310"/>
      <c r="G78" s="310"/>
      <c r="H78" s="310"/>
      <c r="I78" s="310"/>
      <c r="J78" s="310"/>
      <c r="K78" s="310"/>
      <c r="L78" s="310"/>
      <c r="M78" s="310"/>
      <c r="N78" s="310"/>
      <c r="O78" s="310"/>
      <c r="P78" s="310"/>
      <c r="Q78" s="311"/>
    </row>
    <row r="79" spans="2:17">
      <c r="B79" s="502"/>
      <c r="C79" s="502" t="s">
        <v>1863</v>
      </c>
      <c r="D79" s="276" t="s">
        <v>67</v>
      </c>
      <c r="E79" s="310">
        <f>E76</f>
        <v>200000000</v>
      </c>
      <c r="F79" s="310">
        <f>E79+F76</f>
        <v>250000000</v>
      </c>
      <c r="G79" s="310">
        <f t="shared" ref="G79:P79" si="34">F79+G76</f>
        <v>750000000</v>
      </c>
      <c r="H79" s="310">
        <f t="shared" si="34"/>
        <v>800000000</v>
      </c>
      <c r="I79" s="310">
        <f t="shared" si="34"/>
        <v>1200000000</v>
      </c>
      <c r="J79" s="310">
        <f t="shared" si="34"/>
        <v>1600000000</v>
      </c>
      <c r="K79" s="310">
        <f t="shared" si="34"/>
        <v>1700000000</v>
      </c>
      <c r="L79" s="310">
        <f t="shared" si="34"/>
        <v>1800000000</v>
      </c>
      <c r="M79" s="310">
        <f t="shared" si="34"/>
        <v>1900000000</v>
      </c>
      <c r="N79" s="310">
        <f t="shared" si="34"/>
        <v>2000000000</v>
      </c>
      <c r="O79" s="310">
        <f t="shared" si="34"/>
        <v>2100000000</v>
      </c>
      <c r="P79" s="310">
        <f t="shared" si="34"/>
        <v>2200000000</v>
      </c>
      <c r="Q79" s="311">
        <f t="shared" ref="Q79" si="35">SUM(E79:P79)</f>
        <v>16500000000</v>
      </c>
    </row>
    <row r="80" spans="2:17">
      <c r="B80" s="502"/>
      <c r="C80" s="502"/>
      <c r="D80" s="285" t="s">
        <v>68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313"/>
    </row>
    <row r="81" spans="2:18">
      <c r="B81" s="502"/>
      <c r="C81" s="502"/>
      <c r="D81" s="285" t="s">
        <v>69</v>
      </c>
      <c r="E81" s="314"/>
      <c r="F81" s="314"/>
      <c r="G81" s="314"/>
      <c r="H81" s="314"/>
      <c r="I81" s="314"/>
      <c r="J81" s="314"/>
      <c r="K81" s="314"/>
      <c r="L81" s="314"/>
      <c r="M81" s="314"/>
      <c r="N81" s="314"/>
      <c r="O81" s="314"/>
      <c r="P81" s="314"/>
      <c r="Q81" s="313"/>
    </row>
    <row r="83" spans="2:18">
      <c r="B83" s="312" t="s">
        <v>1865</v>
      </c>
      <c r="C83" s="294"/>
      <c r="D83" s="295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 t="s">
        <v>890</v>
      </c>
    </row>
    <row r="84" spans="2:18">
      <c r="B84" s="502" t="s">
        <v>1847</v>
      </c>
      <c r="C84" s="502" t="s">
        <v>1578</v>
      </c>
      <c r="D84" s="502"/>
      <c r="E84" s="276" t="s">
        <v>3</v>
      </c>
      <c r="F84" s="276" t="s">
        <v>4</v>
      </c>
      <c r="G84" s="276" t="s">
        <v>5</v>
      </c>
      <c r="H84" s="276" t="s">
        <v>6</v>
      </c>
      <c r="I84" s="276" t="s">
        <v>7</v>
      </c>
      <c r="J84" s="276" t="s">
        <v>8</v>
      </c>
      <c r="K84" s="276" t="s">
        <v>9</v>
      </c>
      <c r="L84" s="276" t="s">
        <v>10</v>
      </c>
      <c r="M84" s="276" t="s">
        <v>11</v>
      </c>
      <c r="N84" s="276" t="s">
        <v>12</v>
      </c>
      <c r="O84" s="276" t="s">
        <v>15</v>
      </c>
      <c r="P84" s="276" t="s">
        <v>16</v>
      </c>
      <c r="Q84" s="276" t="s">
        <v>2</v>
      </c>
    </row>
    <row r="85" spans="2:18">
      <c r="B85" s="502"/>
      <c r="C85" s="502" t="s">
        <v>1848</v>
      </c>
      <c r="D85" s="276" t="s">
        <v>67</v>
      </c>
      <c r="E85" s="397">
        <v>100</v>
      </c>
      <c r="F85" s="397">
        <v>100</v>
      </c>
      <c r="G85" s="397">
        <v>100</v>
      </c>
      <c r="H85" s="397">
        <v>100</v>
      </c>
      <c r="I85" s="397">
        <v>100</v>
      </c>
      <c r="J85" s="397">
        <v>100</v>
      </c>
      <c r="K85" s="397">
        <v>100</v>
      </c>
      <c r="L85" s="397">
        <v>100</v>
      </c>
      <c r="M85" s="397">
        <v>100</v>
      </c>
      <c r="N85" s="397">
        <v>100</v>
      </c>
      <c r="O85" s="397">
        <v>50</v>
      </c>
      <c r="P85" s="397">
        <v>50</v>
      </c>
      <c r="Q85" s="398">
        <v>1100</v>
      </c>
    </row>
    <row r="86" spans="2:18">
      <c r="B86" s="502"/>
      <c r="C86" s="502"/>
      <c r="D86" s="276" t="s">
        <v>68</v>
      </c>
      <c r="E86" s="399">
        <v>388</v>
      </c>
      <c r="F86" s="399">
        <v>85</v>
      </c>
      <c r="G86" s="399">
        <v>43</v>
      </c>
      <c r="H86" s="399"/>
      <c r="I86" s="399"/>
      <c r="J86" s="399"/>
      <c r="K86" s="399"/>
      <c r="L86" s="399"/>
      <c r="M86" s="399"/>
      <c r="N86" s="399"/>
      <c r="O86" s="399"/>
      <c r="P86" s="399"/>
      <c r="Q86" s="399">
        <v>516</v>
      </c>
    </row>
    <row r="87" spans="2:18">
      <c r="B87" s="502"/>
      <c r="C87" s="502"/>
      <c r="D87" s="276" t="s">
        <v>69</v>
      </c>
      <c r="E87" s="402">
        <f>E86/E85</f>
        <v>3.88</v>
      </c>
      <c r="F87" s="402">
        <f t="shared" ref="F87:R87" si="36">F86/F85</f>
        <v>0.85</v>
      </c>
      <c r="G87" s="402">
        <f t="shared" si="36"/>
        <v>0.43</v>
      </c>
      <c r="H87" s="402">
        <f t="shared" si="36"/>
        <v>0</v>
      </c>
      <c r="I87" s="402">
        <f t="shared" si="36"/>
        <v>0</v>
      </c>
      <c r="J87" s="402">
        <f t="shared" si="36"/>
        <v>0</v>
      </c>
      <c r="K87" s="402">
        <f t="shared" si="36"/>
        <v>0</v>
      </c>
      <c r="L87" s="402">
        <f t="shared" si="36"/>
        <v>0</v>
      </c>
      <c r="M87" s="402">
        <f t="shared" si="36"/>
        <v>0</v>
      </c>
      <c r="N87" s="402">
        <f t="shared" si="36"/>
        <v>0</v>
      </c>
      <c r="O87" s="402">
        <f t="shared" si="36"/>
        <v>0</v>
      </c>
      <c r="P87" s="402">
        <f t="shared" si="36"/>
        <v>0</v>
      </c>
      <c r="Q87" s="402">
        <f t="shared" si="36"/>
        <v>0.46909090909090911</v>
      </c>
      <c r="R87" s="402" t="e">
        <f t="shared" si="36"/>
        <v>#DIV/0!</v>
      </c>
    </row>
    <row r="88" spans="2:18">
      <c r="B88" s="502"/>
      <c r="C88" s="502" t="s">
        <v>1863</v>
      </c>
      <c r="D88" s="276" t="s">
        <v>67</v>
      </c>
      <c r="E88" s="397">
        <v>100</v>
      </c>
      <c r="F88" s="397">
        <v>200</v>
      </c>
      <c r="G88" s="397">
        <v>300</v>
      </c>
      <c r="H88" s="397">
        <v>400</v>
      </c>
      <c r="I88" s="397">
        <v>500</v>
      </c>
      <c r="J88" s="397">
        <v>600</v>
      </c>
      <c r="K88" s="397">
        <v>700</v>
      </c>
      <c r="L88" s="397">
        <v>800</v>
      </c>
      <c r="M88" s="397">
        <v>900</v>
      </c>
      <c r="N88" s="398">
        <v>1000</v>
      </c>
      <c r="O88" s="398">
        <v>1050</v>
      </c>
      <c r="P88" s="398">
        <v>1100</v>
      </c>
      <c r="Q88" s="398">
        <v>7650</v>
      </c>
    </row>
    <row r="89" spans="2:18">
      <c r="B89" s="502"/>
      <c r="C89" s="502"/>
      <c r="D89" s="285" t="s">
        <v>68</v>
      </c>
      <c r="E89" s="399">
        <v>388</v>
      </c>
      <c r="F89" s="399">
        <v>473</v>
      </c>
      <c r="G89" s="399">
        <v>516</v>
      </c>
      <c r="H89" s="399"/>
      <c r="I89" s="399"/>
      <c r="J89" s="399"/>
      <c r="K89" s="399"/>
      <c r="L89" s="399"/>
      <c r="M89" s="399"/>
      <c r="N89" s="399"/>
      <c r="O89" s="399"/>
      <c r="P89" s="399"/>
      <c r="Q89" s="400">
        <f>SUM(E89:P89)</f>
        <v>1377</v>
      </c>
    </row>
    <row r="90" spans="2:18">
      <c r="B90" s="502"/>
      <c r="C90" s="502"/>
      <c r="D90" s="285" t="s">
        <v>69</v>
      </c>
      <c r="E90" s="401">
        <f>E89/E88</f>
        <v>3.88</v>
      </c>
      <c r="F90" s="401">
        <f t="shared" ref="F90:Q90" si="37">F89/F88</f>
        <v>2.3650000000000002</v>
      </c>
      <c r="G90" s="401">
        <f t="shared" si="37"/>
        <v>1.72</v>
      </c>
      <c r="H90" s="401">
        <f t="shared" si="37"/>
        <v>0</v>
      </c>
      <c r="I90" s="401">
        <f t="shared" si="37"/>
        <v>0</v>
      </c>
      <c r="J90" s="401">
        <f t="shared" si="37"/>
        <v>0</v>
      </c>
      <c r="K90" s="401">
        <f t="shared" si="37"/>
        <v>0</v>
      </c>
      <c r="L90" s="401">
        <f t="shared" si="37"/>
        <v>0</v>
      </c>
      <c r="M90" s="401">
        <f t="shared" si="37"/>
        <v>0</v>
      </c>
      <c r="N90" s="401">
        <f t="shared" si="37"/>
        <v>0</v>
      </c>
      <c r="O90" s="401">
        <f t="shared" si="37"/>
        <v>0</v>
      </c>
      <c r="P90" s="401">
        <f t="shared" si="37"/>
        <v>0</v>
      </c>
      <c r="Q90" s="401">
        <f t="shared" si="37"/>
        <v>0.18</v>
      </c>
    </row>
  </sheetData>
  <mergeCells count="39">
    <mergeCell ref="B75:B81"/>
    <mergeCell ref="C75:D75"/>
    <mergeCell ref="C76:C78"/>
    <mergeCell ref="C79:C81"/>
    <mergeCell ref="B84:B90"/>
    <mergeCell ref="C84:D84"/>
    <mergeCell ref="C85:C87"/>
    <mergeCell ref="C88:C90"/>
    <mergeCell ref="Q37:Q38"/>
    <mergeCell ref="C39:C45"/>
    <mergeCell ref="C46:C53"/>
    <mergeCell ref="C54:C57"/>
    <mergeCell ref="C58:C61"/>
    <mergeCell ref="E37:G37"/>
    <mergeCell ref="H37:J37"/>
    <mergeCell ref="K37:M37"/>
    <mergeCell ref="N37:P37"/>
    <mergeCell ref="B64:B72"/>
    <mergeCell ref="C64:D64"/>
    <mergeCell ref="C65:C69"/>
    <mergeCell ref="C70:C72"/>
    <mergeCell ref="B37:B61"/>
    <mergeCell ref="C37:D38"/>
    <mergeCell ref="B18:B24"/>
    <mergeCell ref="C18:D18"/>
    <mergeCell ref="C19:D19"/>
    <mergeCell ref="C20:D20"/>
    <mergeCell ref="B27:B33"/>
    <mergeCell ref="C27:D27"/>
    <mergeCell ref="C28:D28"/>
    <mergeCell ref="C29:D29"/>
    <mergeCell ref="B2:B8"/>
    <mergeCell ref="C2:D2"/>
    <mergeCell ref="C3:D3"/>
    <mergeCell ref="C4:D4"/>
    <mergeCell ref="B10:B16"/>
    <mergeCell ref="C10:D10"/>
    <mergeCell ref="C11:D11"/>
    <mergeCell ref="C12:D1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S109"/>
  <sheetViews>
    <sheetView showGridLines="0" zoomScaleNormal="100" workbookViewId="0">
      <selection activeCell="G68" sqref="G68"/>
    </sheetView>
  </sheetViews>
  <sheetFormatPr defaultColWidth="9" defaultRowHeight="12"/>
  <cols>
    <col min="1" max="1" width="3.5" style="1" customWidth="1"/>
    <col min="2" max="2" width="6.375" style="1" customWidth="1"/>
    <col min="3" max="3" width="14.875" style="1" customWidth="1"/>
    <col min="4" max="4" width="15" style="1" bestFit="1" customWidth="1"/>
    <col min="5" max="12" width="12.875" style="1" bestFit="1" customWidth="1"/>
    <col min="13" max="13" width="13.875" style="1" bestFit="1" customWidth="1"/>
    <col min="14" max="16" width="12.875" style="1" bestFit="1" customWidth="1"/>
    <col min="17" max="17" width="15" style="1" customWidth="1"/>
    <col min="18" max="18" width="9.25" style="1" hidden="1" customWidth="1"/>
    <col min="19" max="19" width="13.875" style="1" bestFit="1" customWidth="1"/>
    <col min="20" max="16384" width="9" style="1"/>
  </cols>
  <sheetData>
    <row r="1" spans="1:18" ht="13.5" customHeight="1">
      <c r="B1" s="315" t="s">
        <v>1837</v>
      </c>
      <c r="C1" s="21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 t="s">
        <v>890</v>
      </c>
    </row>
    <row r="2" spans="1:18" ht="13.5" hidden="1" customHeight="1">
      <c r="A2" s="15"/>
      <c r="B2" s="502" t="s">
        <v>1577</v>
      </c>
      <c r="C2" s="502" t="s">
        <v>1578</v>
      </c>
      <c r="D2" s="502"/>
      <c r="E2" s="276" t="s">
        <v>3</v>
      </c>
      <c r="F2" s="276" t="s">
        <v>4</v>
      </c>
      <c r="G2" s="276" t="s">
        <v>5</v>
      </c>
      <c r="H2" s="276" t="s">
        <v>6</v>
      </c>
      <c r="I2" s="276" t="s">
        <v>7</v>
      </c>
      <c r="J2" s="276" t="s">
        <v>8</v>
      </c>
      <c r="K2" s="276" t="s">
        <v>9</v>
      </c>
      <c r="L2" s="276" t="s">
        <v>10</v>
      </c>
      <c r="M2" s="276" t="s">
        <v>11</v>
      </c>
      <c r="N2" s="276" t="s">
        <v>12</v>
      </c>
      <c r="O2" s="276" t="s">
        <v>15</v>
      </c>
      <c r="P2" s="276" t="s">
        <v>16</v>
      </c>
      <c r="Q2" s="276" t="s">
        <v>2</v>
      </c>
      <c r="R2" s="9"/>
    </row>
    <row r="3" spans="1:18" ht="13.5" hidden="1" customHeight="1">
      <c r="A3" s="15"/>
      <c r="B3" s="513"/>
      <c r="C3" s="502" t="s">
        <v>1838</v>
      </c>
      <c r="D3" s="502"/>
      <c r="E3" s="233">
        <v>150000000</v>
      </c>
      <c r="F3" s="233">
        <v>250000000</v>
      </c>
      <c r="G3" s="233">
        <v>250000000</v>
      </c>
      <c r="H3" s="233">
        <v>250000000</v>
      </c>
      <c r="I3" s="233">
        <v>250000000</v>
      </c>
      <c r="J3" s="233">
        <v>300000000</v>
      </c>
      <c r="K3" s="233">
        <v>900000000</v>
      </c>
      <c r="L3" s="233">
        <v>250000000</v>
      </c>
      <c r="M3" s="233">
        <v>250000000</v>
      </c>
      <c r="N3" s="233">
        <v>150000000</v>
      </c>
      <c r="O3" s="233">
        <v>50000000</v>
      </c>
      <c r="P3" s="233">
        <v>200000000</v>
      </c>
      <c r="Q3" s="238">
        <v>3000000000</v>
      </c>
      <c r="R3" s="9"/>
    </row>
    <row r="4" spans="1:18" ht="13.5" hidden="1" customHeight="1">
      <c r="A4" s="15"/>
      <c r="B4" s="513"/>
      <c r="C4" s="502" t="s">
        <v>1839</v>
      </c>
      <c r="D4" s="502"/>
      <c r="E4" s="233">
        <f>E3</f>
        <v>150000000</v>
      </c>
      <c r="F4" s="233">
        <f>E4+F3</f>
        <v>400000000</v>
      </c>
      <c r="G4" s="233">
        <f t="shared" ref="G4:P4" si="0">F4+G3</f>
        <v>650000000</v>
      </c>
      <c r="H4" s="233">
        <f t="shared" si="0"/>
        <v>900000000</v>
      </c>
      <c r="I4" s="233">
        <f t="shared" si="0"/>
        <v>1150000000</v>
      </c>
      <c r="J4" s="233">
        <f t="shared" si="0"/>
        <v>1450000000</v>
      </c>
      <c r="K4" s="233">
        <f t="shared" si="0"/>
        <v>2350000000</v>
      </c>
      <c r="L4" s="233">
        <f t="shared" si="0"/>
        <v>2600000000</v>
      </c>
      <c r="M4" s="233">
        <f t="shared" si="0"/>
        <v>2850000000</v>
      </c>
      <c r="N4" s="233">
        <f t="shared" si="0"/>
        <v>3000000000</v>
      </c>
      <c r="O4" s="233">
        <f t="shared" si="0"/>
        <v>3050000000</v>
      </c>
      <c r="P4" s="233">
        <f t="shared" si="0"/>
        <v>3250000000</v>
      </c>
      <c r="Q4" s="238">
        <f>SUM(E4:P4)</f>
        <v>21800000000</v>
      </c>
      <c r="R4" s="9"/>
    </row>
    <row r="5" spans="1:18" ht="13.5" hidden="1" customHeight="1">
      <c r="A5" s="15"/>
      <c r="B5" s="513"/>
      <c r="C5" s="52" t="s">
        <v>17</v>
      </c>
      <c r="D5" s="42">
        <v>5540226673</v>
      </c>
      <c r="E5" s="42">
        <f>D5+E3</f>
        <v>5690226673</v>
      </c>
      <c r="F5" s="42">
        <f t="shared" ref="F5:P5" si="1">E5+F3</f>
        <v>5940226673</v>
      </c>
      <c r="G5" s="42">
        <f t="shared" si="1"/>
        <v>6190226673</v>
      </c>
      <c r="H5" s="42">
        <f t="shared" si="1"/>
        <v>6440226673</v>
      </c>
      <c r="I5" s="42">
        <f t="shared" si="1"/>
        <v>6690226673</v>
      </c>
      <c r="J5" s="42">
        <f t="shared" si="1"/>
        <v>6990226673</v>
      </c>
      <c r="K5" s="42">
        <f t="shared" si="1"/>
        <v>7890226673</v>
      </c>
      <c r="L5" s="42">
        <f t="shared" si="1"/>
        <v>8140226673</v>
      </c>
      <c r="M5" s="42">
        <f t="shared" si="1"/>
        <v>8390226673</v>
      </c>
      <c r="N5" s="42">
        <f t="shared" si="1"/>
        <v>8540226673</v>
      </c>
      <c r="O5" s="42">
        <f t="shared" si="1"/>
        <v>8590226673</v>
      </c>
      <c r="P5" s="42">
        <f t="shared" si="1"/>
        <v>8790226673</v>
      </c>
      <c r="Q5" s="239">
        <f>SUM(E5:P5)</f>
        <v>88282720076</v>
      </c>
      <c r="R5" s="9"/>
    </row>
    <row r="6" spans="1:18" ht="13.5" hidden="1" customHeight="1">
      <c r="A6" s="15"/>
      <c r="B6" s="513"/>
      <c r="C6" s="52" t="s">
        <v>49</v>
      </c>
      <c r="D6" s="42">
        <v>42659745.382100001</v>
      </c>
      <c r="E6" s="42">
        <f>E5*0.77%</f>
        <v>43814745.382100001</v>
      </c>
      <c r="F6" s="42">
        <f t="shared" ref="F6:P6" si="2">F5*0.77%</f>
        <v>45739745.382100001</v>
      </c>
      <c r="G6" s="42">
        <f t="shared" si="2"/>
        <v>47664745.382100001</v>
      </c>
      <c r="H6" s="42">
        <f t="shared" si="2"/>
        <v>49589745.382100001</v>
      </c>
      <c r="I6" s="42">
        <f t="shared" si="2"/>
        <v>51514745.382100001</v>
      </c>
      <c r="J6" s="42">
        <f t="shared" si="2"/>
        <v>53824745.382100001</v>
      </c>
      <c r="K6" s="42">
        <f t="shared" si="2"/>
        <v>60754745.382100001</v>
      </c>
      <c r="L6" s="42">
        <f t="shared" si="2"/>
        <v>62679745.382100001</v>
      </c>
      <c r="M6" s="42">
        <f t="shared" si="2"/>
        <v>64604745.382100001</v>
      </c>
      <c r="N6" s="42">
        <f t="shared" si="2"/>
        <v>65759745.382100001</v>
      </c>
      <c r="O6" s="42">
        <f t="shared" si="2"/>
        <v>66144745.382100001</v>
      </c>
      <c r="P6" s="42">
        <f t="shared" si="2"/>
        <v>67684745.382100001</v>
      </c>
      <c r="Q6" s="239">
        <v>687861944.58519995</v>
      </c>
      <c r="R6" s="9"/>
    </row>
    <row r="7" spans="1:18" ht="13.5" hidden="1" customHeight="1">
      <c r="A7" s="15"/>
      <c r="B7" s="513"/>
      <c r="C7" s="52" t="s">
        <v>50</v>
      </c>
      <c r="D7" s="42">
        <v>22609665.052513003</v>
      </c>
      <c r="E7" s="42">
        <f>E6*53%</f>
        <v>23221815.052513003</v>
      </c>
      <c r="F7" s="42">
        <f t="shared" ref="F7:P7" si="3">F6*53%</f>
        <v>24242065.052513003</v>
      </c>
      <c r="G7" s="42">
        <f t="shared" si="3"/>
        <v>25262315.052513003</v>
      </c>
      <c r="H7" s="42">
        <f t="shared" si="3"/>
        <v>26282565.052513003</v>
      </c>
      <c r="I7" s="42">
        <f t="shared" si="3"/>
        <v>27302815.052513003</v>
      </c>
      <c r="J7" s="42">
        <f t="shared" si="3"/>
        <v>28527115.052513003</v>
      </c>
      <c r="K7" s="42">
        <f t="shared" si="3"/>
        <v>32200015.052513003</v>
      </c>
      <c r="L7" s="42">
        <f t="shared" si="3"/>
        <v>33220265.052513003</v>
      </c>
      <c r="M7" s="42">
        <f t="shared" si="3"/>
        <v>34240515.052513003</v>
      </c>
      <c r="N7" s="42">
        <f t="shared" si="3"/>
        <v>34852665.052513003</v>
      </c>
      <c r="O7" s="42">
        <f t="shared" si="3"/>
        <v>35056715.052513003</v>
      </c>
      <c r="P7" s="42">
        <f t="shared" si="3"/>
        <v>35872915.052513003</v>
      </c>
      <c r="Q7" s="239">
        <f>SUM(E7:P7)</f>
        <v>360281780.63015604</v>
      </c>
      <c r="R7" s="9"/>
    </row>
    <row r="8" spans="1:18" ht="13.5" hidden="1" customHeight="1">
      <c r="A8" s="15"/>
      <c r="B8" s="513"/>
      <c r="C8" s="52" t="s">
        <v>51</v>
      </c>
      <c r="D8" s="42">
        <v>20050080.329586998</v>
      </c>
      <c r="E8" s="43">
        <f>E6-E7</f>
        <v>20592930.329586998</v>
      </c>
      <c r="F8" s="43">
        <f t="shared" ref="F8:P8" si="4">F6-F7</f>
        <v>21497680.329586998</v>
      </c>
      <c r="G8" s="43">
        <f t="shared" si="4"/>
        <v>22402430.329586998</v>
      </c>
      <c r="H8" s="43">
        <f t="shared" si="4"/>
        <v>23307180.329586998</v>
      </c>
      <c r="I8" s="43">
        <f t="shared" si="4"/>
        <v>24211930.329586998</v>
      </c>
      <c r="J8" s="43">
        <f t="shared" si="4"/>
        <v>25297630.329586998</v>
      </c>
      <c r="K8" s="43">
        <f t="shared" si="4"/>
        <v>28554730.329586998</v>
      </c>
      <c r="L8" s="43">
        <f t="shared" si="4"/>
        <v>29459480.329586998</v>
      </c>
      <c r="M8" s="43">
        <f t="shared" si="4"/>
        <v>30364230.329586998</v>
      </c>
      <c r="N8" s="43">
        <f t="shared" si="4"/>
        <v>30907080.329586998</v>
      </c>
      <c r="O8" s="43">
        <f t="shared" si="4"/>
        <v>31088030.329586998</v>
      </c>
      <c r="P8" s="43">
        <f t="shared" si="4"/>
        <v>31811830.329586998</v>
      </c>
      <c r="Q8" s="240">
        <f>SUM(E8:P8)</f>
        <v>319495163.95504391</v>
      </c>
      <c r="R8" s="9"/>
    </row>
    <row r="9" spans="1:18" ht="13.5" customHeight="1">
      <c r="B9" s="220"/>
      <c r="C9" s="221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</row>
    <row r="10" spans="1:18" ht="13.5" customHeight="1">
      <c r="A10" s="15"/>
      <c r="B10" s="502" t="s">
        <v>1577</v>
      </c>
      <c r="C10" s="502" t="s">
        <v>1578</v>
      </c>
      <c r="D10" s="502"/>
      <c r="E10" s="276" t="s">
        <v>3</v>
      </c>
      <c r="F10" s="276" t="s">
        <v>4</v>
      </c>
      <c r="G10" s="276" t="s">
        <v>5</v>
      </c>
      <c r="H10" s="276" t="s">
        <v>6</v>
      </c>
      <c r="I10" s="276" t="s">
        <v>7</v>
      </c>
      <c r="J10" s="276" t="s">
        <v>8</v>
      </c>
      <c r="K10" s="276" t="s">
        <v>9</v>
      </c>
      <c r="L10" s="276" t="s">
        <v>10</v>
      </c>
      <c r="M10" s="276" t="s">
        <v>11</v>
      </c>
      <c r="N10" s="276" t="s">
        <v>12</v>
      </c>
      <c r="O10" s="276" t="s">
        <v>15</v>
      </c>
      <c r="P10" s="276" t="s">
        <v>16</v>
      </c>
      <c r="Q10" s="276" t="s">
        <v>2</v>
      </c>
      <c r="R10" s="9"/>
    </row>
    <row r="11" spans="1:18" ht="13.5" customHeight="1">
      <c r="A11" s="15"/>
      <c r="B11" s="513"/>
      <c r="C11" s="502" t="s">
        <v>1838</v>
      </c>
      <c r="D11" s="502"/>
      <c r="E11" s="233">
        <v>130000000</v>
      </c>
      <c r="F11" s="233">
        <v>260000000</v>
      </c>
      <c r="G11" s="233">
        <v>110000000</v>
      </c>
      <c r="H11" s="233">
        <v>200000000</v>
      </c>
      <c r="I11" s="233">
        <v>300000000</v>
      </c>
      <c r="J11" s="233">
        <v>250000000</v>
      </c>
      <c r="K11" s="233">
        <v>900000000</v>
      </c>
      <c r="L11" s="233">
        <v>250000000</v>
      </c>
      <c r="M11" s="233">
        <v>250000000</v>
      </c>
      <c r="N11" s="233">
        <v>140000000</v>
      </c>
      <c r="O11" s="233">
        <v>70000000</v>
      </c>
      <c r="P11" s="233">
        <v>140000000</v>
      </c>
      <c r="Q11" s="234">
        <f>SUM(E11:P11)</f>
        <v>3000000000</v>
      </c>
      <c r="R11" s="9"/>
    </row>
    <row r="12" spans="1:18" ht="13.5" customHeight="1">
      <c r="A12" s="15"/>
      <c r="B12" s="513"/>
      <c r="C12" s="502" t="s">
        <v>1839</v>
      </c>
      <c r="D12" s="502"/>
      <c r="E12" s="233">
        <f>E11</f>
        <v>130000000</v>
      </c>
      <c r="F12" s="233">
        <f>E12+F11</f>
        <v>390000000</v>
      </c>
      <c r="G12" s="233">
        <f t="shared" ref="G12:P12" si="5">F12+G11</f>
        <v>500000000</v>
      </c>
      <c r="H12" s="233">
        <f t="shared" si="5"/>
        <v>700000000</v>
      </c>
      <c r="I12" s="233">
        <f t="shared" si="5"/>
        <v>1000000000</v>
      </c>
      <c r="J12" s="233">
        <f t="shared" si="5"/>
        <v>1250000000</v>
      </c>
      <c r="K12" s="233">
        <f t="shared" si="5"/>
        <v>2150000000</v>
      </c>
      <c r="L12" s="233">
        <f t="shared" si="5"/>
        <v>2400000000</v>
      </c>
      <c r="M12" s="233">
        <f t="shared" si="5"/>
        <v>2650000000</v>
      </c>
      <c r="N12" s="233">
        <f t="shared" si="5"/>
        <v>2790000000</v>
      </c>
      <c r="O12" s="233">
        <f t="shared" si="5"/>
        <v>2860000000</v>
      </c>
      <c r="P12" s="233">
        <f t="shared" si="5"/>
        <v>3000000000</v>
      </c>
      <c r="Q12" s="234">
        <f>SUM(E12:P12)</f>
        <v>19820000000</v>
      </c>
      <c r="R12" s="9"/>
    </row>
    <row r="13" spans="1:18" ht="13.5" customHeight="1">
      <c r="A13" s="15"/>
      <c r="B13" s="513"/>
      <c r="C13" s="52" t="s">
        <v>17</v>
      </c>
      <c r="D13" s="42">
        <v>5540226673</v>
      </c>
      <c r="E13" s="4">
        <f>D13+E11</f>
        <v>5670226673</v>
      </c>
      <c r="F13" s="4">
        <f t="shared" ref="F13:P13" si="6">E13+F11</f>
        <v>5930226673</v>
      </c>
      <c r="G13" s="4">
        <f t="shared" si="6"/>
        <v>6040226673</v>
      </c>
      <c r="H13" s="4">
        <f t="shared" si="6"/>
        <v>6240226673</v>
      </c>
      <c r="I13" s="4">
        <f t="shared" si="6"/>
        <v>6540226673</v>
      </c>
      <c r="J13" s="4">
        <f t="shared" si="6"/>
        <v>6790226673</v>
      </c>
      <c r="K13" s="4">
        <f t="shared" si="6"/>
        <v>7690226673</v>
      </c>
      <c r="L13" s="4">
        <f t="shared" si="6"/>
        <v>7940226673</v>
      </c>
      <c r="M13" s="4">
        <f t="shared" si="6"/>
        <v>8190226673</v>
      </c>
      <c r="N13" s="4">
        <f t="shared" si="6"/>
        <v>8330226673</v>
      </c>
      <c r="O13" s="4">
        <f t="shared" si="6"/>
        <v>8400226673</v>
      </c>
      <c r="P13" s="4">
        <f t="shared" si="6"/>
        <v>8540226673</v>
      </c>
      <c r="Q13" s="235">
        <f>SUM(E13:P13)</f>
        <v>86302720076</v>
      </c>
      <c r="R13" s="9"/>
    </row>
    <row r="14" spans="1:18" ht="13.5" customHeight="1">
      <c r="A14" s="15"/>
      <c r="B14" s="513"/>
      <c r="C14" s="52" t="s">
        <v>49</v>
      </c>
      <c r="D14" s="42">
        <v>42659745.382100001</v>
      </c>
      <c r="E14" s="42">
        <f>E13*0.77%</f>
        <v>43660745.382100001</v>
      </c>
      <c r="F14" s="42">
        <f t="shared" ref="F14:P14" si="7">F13*0.77%</f>
        <v>45662745.382100001</v>
      </c>
      <c r="G14" s="42">
        <f t="shared" si="7"/>
        <v>46509745.382100001</v>
      </c>
      <c r="H14" s="42">
        <f t="shared" si="7"/>
        <v>48049745.382100001</v>
      </c>
      <c r="I14" s="42">
        <f t="shared" si="7"/>
        <v>50359745.382100001</v>
      </c>
      <c r="J14" s="42">
        <f t="shared" si="7"/>
        <v>52284745.382100001</v>
      </c>
      <c r="K14" s="42">
        <f t="shared" si="7"/>
        <v>59214745.382100001</v>
      </c>
      <c r="L14" s="42">
        <f t="shared" si="7"/>
        <v>61139745.382100001</v>
      </c>
      <c r="M14" s="42">
        <f t="shared" si="7"/>
        <v>63064745.382100001</v>
      </c>
      <c r="N14" s="42">
        <f t="shared" si="7"/>
        <v>64142745.382100001</v>
      </c>
      <c r="O14" s="42">
        <f t="shared" si="7"/>
        <v>64681745.382100001</v>
      </c>
      <c r="P14" s="42">
        <f t="shared" si="7"/>
        <v>65759745.382100001</v>
      </c>
      <c r="Q14" s="235">
        <v>687861944.58519995</v>
      </c>
      <c r="R14" s="9"/>
    </row>
    <row r="15" spans="1:18" ht="13.5" customHeight="1">
      <c r="A15" s="15"/>
      <c r="B15" s="513"/>
      <c r="C15" s="52" t="s">
        <v>50</v>
      </c>
      <c r="D15" s="42">
        <v>22609665.052513003</v>
      </c>
      <c r="E15" s="42">
        <f>E14*53%</f>
        <v>23140195.052513003</v>
      </c>
      <c r="F15" s="42">
        <f t="shared" ref="F15:P15" si="8">F14*53%</f>
        <v>24201255.052513003</v>
      </c>
      <c r="G15" s="42">
        <f t="shared" si="8"/>
        <v>24650165.052513003</v>
      </c>
      <c r="H15" s="42">
        <f t="shared" si="8"/>
        <v>25466365.052513003</v>
      </c>
      <c r="I15" s="42">
        <f t="shared" si="8"/>
        <v>26690665.052513003</v>
      </c>
      <c r="J15" s="42">
        <f t="shared" si="8"/>
        <v>27710915.052513003</v>
      </c>
      <c r="K15" s="42">
        <f t="shared" si="8"/>
        <v>31383815.052513003</v>
      </c>
      <c r="L15" s="42">
        <f t="shared" si="8"/>
        <v>32404065.052513003</v>
      </c>
      <c r="M15" s="42">
        <f t="shared" si="8"/>
        <v>33424315.052513003</v>
      </c>
      <c r="N15" s="42">
        <f t="shared" si="8"/>
        <v>33995655.052513003</v>
      </c>
      <c r="O15" s="42">
        <f t="shared" si="8"/>
        <v>34281325.052513003</v>
      </c>
      <c r="P15" s="42">
        <f t="shared" si="8"/>
        <v>34852665.052513003</v>
      </c>
      <c r="Q15" s="235">
        <f>SUM(E15:P15)</f>
        <v>352201400.63015604</v>
      </c>
      <c r="R15" s="9"/>
    </row>
    <row r="16" spans="1:18" ht="13.5" customHeight="1">
      <c r="A16" s="15"/>
      <c r="B16" s="513"/>
      <c r="C16" s="52" t="s">
        <v>51</v>
      </c>
      <c r="D16" s="42">
        <v>20050080.329586998</v>
      </c>
      <c r="E16" s="43">
        <f>E14-E15</f>
        <v>20520550.329586998</v>
      </c>
      <c r="F16" s="43">
        <f t="shared" ref="F16:P16" si="9">F14-F15</f>
        <v>21461490.329586998</v>
      </c>
      <c r="G16" s="43">
        <f t="shared" si="9"/>
        <v>21859580.329586998</v>
      </c>
      <c r="H16" s="43">
        <f t="shared" si="9"/>
        <v>22583380.329586998</v>
      </c>
      <c r="I16" s="43">
        <f t="shared" si="9"/>
        <v>23669080.329586998</v>
      </c>
      <c r="J16" s="43">
        <f t="shared" si="9"/>
        <v>24573830.329586998</v>
      </c>
      <c r="K16" s="43">
        <f t="shared" si="9"/>
        <v>27830930.329586998</v>
      </c>
      <c r="L16" s="43">
        <f t="shared" si="9"/>
        <v>28735680.329586998</v>
      </c>
      <c r="M16" s="43">
        <f t="shared" si="9"/>
        <v>29640430.329586998</v>
      </c>
      <c r="N16" s="43">
        <f t="shared" si="9"/>
        <v>30147090.329586998</v>
      </c>
      <c r="O16" s="43">
        <f t="shared" si="9"/>
        <v>30400420.329586998</v>
      </c>
      <c r="P16" s="43">
        <f t="shared" si="9"/>
        <v>30907080.329586998</v>
      </c>
      <c r="Q16" s="237">
        <f>SUM(E16:P16)</f>
        <v>312329543.95504391</v>
      </c>
      <c r="R16" s="9"/>
    </row>
    <row r="17" spans="2:19" ht="13.5" customHeight="1">
      <c r="B17" s="11"/>
      <c r="C17" s="222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2:19" ht="13.5" customHeight="1">
      <c r="B18" s="502" t="s">
        <v>1841</v>
      </c>
      <c r="C18" s="502" t="s">
        <v>1578</v>
      </c>
      <c r="D18" s="502"/>
      <c r="E18" s="276" t="s">
        <v>3</v>
      </c>
      <c r="F18" s="276" t="s">
        <v>4</v>
      </c>
      <c r="G18" s="276" t="s">
        <v>5</v>
      </c>
      <c r="H18" s="276" t="s">
        <v>6</v>
      </c>
      <c r="I18" s="276" t="s">
        <v>7</v>
      </c>
      <c r="J18" s="276" t="s">
        <v>8</v>
      </c>
      <c r="K18" s="276" t="s">
        <v>9</v>
      </c>
      <c r="L18" s="276" t="s">
        <v>10</v>
      </c>
      <c r="M18" s="276" t="s">
        <v>11</v>
      </c>
      <c r="N18" s="276" t="s">
        <v>12</v>
      </c>
      <c r="O18" s="276" t="s">
        <v>15</v>
      </c>
      <c r="P18" s="276" t="s">
        <v>16</v>
      </c>
      <c r="Q18" s="276" t="s">
        <v>2</v>
      </c>
    </row>
    <row r="19" spans="2:19" ht="13.5" customHeight="1">
      <c r="B19" s="513"/>
      <c r="C19" s="502" t="s">
        <v>1838</v>
      </c>
      <c r="D19" s="502"/>
      <c r="E19" s="233">
        <f>[1]Sheet1!$E$5</f>
        <v>196020000</v>
      </c>
      <c r="F19" s="233">
        <f>[1]Sheet1!$E$6</f>
        <v>239088000</v>
      </c>
      <c r="G19" s="233">
        <f>[1]Sheet1!$E$7</f>
        <v>80683000</v>
      </c>
      <c r="H19" s="233">
        <f>[1]Sheet1!$E$8</f>
        <v>232171665</v>
      </c>
      <c r="I19" s="233">
        <f>[1]Sheet1!$E$10</f>
        <v>132766666</v>
      </c>
      <c r="J19" s="233">
        <f>[1]Sheet1!$E$10</f>
        <v>132766666</v>
      </c>
      <c r="K19" s="233">
        <f>[1]Sheet1!$E$11</f>
        <v>937309999</v>
      </c>
      <c r="L19" s="233">
        <f>[1]Sheet1!$E$12</f>
        <v>264325000</v>
      </c>
      <c r="M19" s="233">
        <f>[1]Sheet1!$E$13</f>
        <v>397280000</v>
      </c>
      <c r="N19" s="233">
        <f>[1]Sheet1!$E$14</f>
        <v>171076666</v>
      </c>
      <c r="O19" s="233">
        <f>[1]Sheet1!$E$15</f>
        <v>81000000</v>
      </c>
      <c r="P19" s="233">
        <f>[1]Sheet1!$E$16</f>
        <v>400000000</v>
      </c>
      <c r="Q19" s="234">
        <f>SUM(E19:P19)</f>
        <v>3264487662</v>
      </c>
    </row>
    <row r="20" spans="2:19" ht="13.5" customHeight="1">
      <c r="B20" s="513"/>
      <c r="C20" s="502" t="s">
        <v>1839</v>
      </c>
      <c r="D20" s="502"/>
      <c r="E20" s="233">
        <f>E19</f>
        <v>196020000</v>
      </c>
      <c r="F20" s="233">
        <f>E20+F19</f>
        <v>435108000</v>
      </c>
      <c r="G20" s="233">
        <f t="shared" ref="G20:P20" si="10">F20+G19</f>
        <v>515791000</v>
      </c>
      <c r="H20" s="233">
        <f t="shared" si="10"/>
        <v>747962665</v>
      </c>
      <c r="I20" s="233">
        <f t="shared" si="10"/>
        <v>880729331</v>
      </c>
      <c r="J20" s="233">
        <f t="shared" si="10"/>
        <v>1013495997</v>
      </c>
      <c r="K20" s="233">
        <f t="shared" si="10"/>
        <v>1950805996</v>
      </c>
      <c r="L20" s="233">
        <f t="shared" si="10"/>
        <v>2215130996</v>
      </c>
      <c r="M20" s="233">
        <f t="shared" si="10"/>
        <v>2612410996</v>
      </c>
      <c r="N20" s="233">
        <f t="shared" si="10"/>
        <v>2783487662</v>
      </c>
      <c r="O20" s="233">
        <f t="shared" si="10"/>
        <v>2864487662</v>
      </c>
      <c r="P20" s="233">
        <f t="shared" si="10"/>
        <v>3264487662</v>
      </c>
      <c r="Q20" s="234">
        <f>SUM(E20:P20)</f>
        <v>19479917967</v>
      </c>
    </row>
    <row r="21" spans="2:19" ht="13.5" customHeight="1">
      <c r="B21" s="513"/>
      <c r="C21" s="52" t="s">
        <v>17</v>
      </c>
      <c r="D21" s="42">
        <v>5540226673</v>
      </c>
      <c r="E21" s="4">
        <v>6060451913</v>
      </c>
      <c r="F21" s="4">
        <v>5726678424</v>
      </c>
      <c r="G21" s="4">
        <v>6558338984</v>
      </c>
      <c r="H21" s="4">
        <v>6839918792</v>
      </c>
      <c r="I21" s="4">
        <v>6567003624</v>
      </c>
      <c r="J21" s="4">
        <v>6330822979</v>
      </c>
      <c r="K21" s="4">
        <v>7913840113</v>
      </c>
      <c r="L21" s="4">
        <v>8531346228</v>
      </c>
      <c r="M21" s="4">
        <v>8735372591</v>
      </c>
      <c r="N21" s="4">
        <v>8654973534</v>
      </c>
      <c r="O21" s="4">
        <v>8750348280</v>
      </c>
      <c r="P21" s="4">
        <v>9068570388</v>
      </c>
      <c r="Q21" s="235">
        <v>89737665850</v>
      </c>
    </row>
    <row r="22" spans="2:19" ht="13.5" customHeight="1">
      <c r="B22" s="513"/>
      <c r="C22" s="52" t="s">
        <v>49</v>
      </c>
      <c r="D22" s="42">
        <v>42659745.382100001</v>
      </c>
      <c r="E22" s="42">
        <v>46649358</v>
      </c>
      <c r="F22" s="42">
        <v>44392889</v>
      </c>
      <c r="G22" s="42">
        <v>48976023</v>
      </c>
      <c r="H22" s="42">
        <v>50934182</v>
      </c>
      <c r="I22" s="42">
        <v>50361625</v>
      </c>
      <c r="J22" s="42">
        <v>49254817</v>
      </c>
      <c r="K22" s="42">
        <v>61631771</v>
      </c>
      <c r="L22" s="42">
        <v>64283165</v>
      </c>
      <c r="M22" s="42">
        <v>65530427</v>
      </c>
      <c r="N22" s="42">
        <v>64944621</v>
      </c>
      <c r="O22" s="42">
        <v>65689396</v>
      </c>
      <c r="P22" s="42">
        <v>70522190</v>
      </c>
      <c r="Q22" s="235">
        <v>683170464</v>
      </c>
    </row>
    <row r="23" spans="2:19" ht="13.5" customHeight="1">
      <c r="B23" s="513"/>
      <c r="C23" s="52" t="s">
        <v>50</v>
      </c>
      <c r="D23" s="42">
        <v>22609665.052513003</v>
      </c>
      <c r="E23" s="42">
        <v>24136601</v>
      </c>
      <c r="F23" s="42">
        <v>22785430</v>
      </c>
      <c r="G23" s="42">
        <v>24556829</v>
      </c>
      <c r="H23" s="42">
        <v>25206435</v>
      </c>
      <c r="I23" s="42">
        <v>25268103</v>
      </c>
      <c r="J23" s="42">
        <v>25122109</v>
      </c>
      <c r="K23" s="42">
        <v>30925904</v>
      </c>
      <c r="L23" s="42">
        <v>31407947</v>
      </c>
      <c r="M23" s="42">
        <v>31975521</v>
      </c>
      <c r="N23" s="42">
        <v>29938776</v>
      </c>
      <c r="O23" s="42">
        <v>30443679</v>
      </c>
      <c r="P23" s="42">
        <v>33229448</v>
      </c>
      <c r="Q23" s="235">
        <v>334996782</v>
      </c>
    </row>
    <row r="24" spans="2:19" ht="13.5" customHeight="1">
      <c r="B24" s="513"/>
      <c r="C24" s="52" t="s">
        <v>51</v>
      </c>
      <c r="D24" s="42">
        <v>20050080.329586998</v>
      </c>
      <c r="E24" s="43">
        <f>E22-E23</f>
        <v>22512757</v>
      </c>
      <c r="F24" s="43">
        <f t="shared" ref="F24:Q24" si="11">F22-F23</f>
        <v>21607459</v>
      </c>
      <c r="G24" s="43">
        <f t="shared" si="11"/>
        <v>24419194</v>
      </c>
      <c r="H24" s="43">
        <f t="shared" si="11"/>
        <v>25727747</v>
      </c>
      <c r="I24" s="43">
        <f t="shared" si="11"/>
        <v>25093522</v>
      </c>
      <c r="J24" s="43">
        <f t="shared" si="11"/>
        <v>24132708</v>
      </c>
      <c r="K24" s="43">
        <f t="shared" si="11"/>
        <v>30705867</v>
      </c>
      <c r="L24" s="43">
        <f t="shared" si="11"/>
        <v>32875218</v>
      </c>
      <c r="M24" s="43">
        <f t="shared" si="11"/>
        <v>33554906</v>
      </c>
      <c r="N24" s="43">
        <f t="shared" si="11"/>
        <v>35005845</v>
      </c>
      <c r="O24" s="43">
        <f t="shared" si="11"/>
        <v>35245717</v>
      </c>
      <c r="P24" s="43">
        <f t="shared" si="11"/>
        <v>37292742</v>
      </c>
      <c r="Q24" s="237">
        <f t="shared" si="11"/>
        <v>348173682</v>
      </c>
    </row>
    <row r="25" spans="2:19" ht="13.5" customHeight="1">
      <c r="B25" s="220"/>
      <c r="C25" s="221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</row>
    <row r="26" spans="2:19" ht="13.5" customHeight="1">
      <c r="B26" s="316" t="s">
        <v>1842</v>
      </c>
      <c r="C26" s="317"/>
      <c r="D26" s="318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 t="s">
        <v>890</v>
      </c>
    </row>
    <row r="27" spans="2:19" ht="13.5" customHeight="1">
      <c r="B27" s="502" t="s">
        <v>1582</v>
      </c>
      <c r="C27" s="502" t="s">
        <v>1578</v>
      </c>
      <c r="D27" s="502"/>
      <c r="E27" s="276" t="s">
        <v>3</v>
      </c>
      <c r="F27" s="276" t="s">
        <v>4</v>
      </c>
      <c r="G27" s="276" t="s">
        <v>5</v>
      </c>
      <c r="H27" s="276" t="s">
        <v>6</v>
      </c>
      <c r="I27" s="276" t="s">
        <v>7</v>
      </c>
      <c r="J27" s="276" t="s">
        <v>8</v>
      </c>
      <c r="K27" s="276" t="s">
        <v>9</v>
      </c>
      <c r="L27" s="276" t="s">
        <v>10</v>
      </c>
      <c r="M27" s="276" t="s">
        <v>11</v>
      </c>
      <c r="N27" s="276" t="s">
        <v>12</v>
      </c>
      <c r="O27" s="276" t="s">
        <v>15</v>
      </c>
      <c r="P27" s="276" t="s">
        <v>16</v>
      </c>
      <c r="Q27" s="276" t="s">
        <v>2</v>
      </c>
    </row>
    <row r="28" spans="2:19" ht="13.5" customHeight="1">
      <c r="B28" s="513"/>
      <c r="C28" s="502" t="s">
        <v>1838</v>
      </c>
      <c r="D28" s="502"/>
      <c r="E28" s="233">
        <v>300000000</v>
      </c>
      <c r="F28" s="233">
        <v>150000000</v>
      </c>
      <c r="G28" s="233">
        <v>600000000</v>
      </c>
      <c r="H28" s="233">
        <v>150000000</v>
      </c>
      <c r="I28" s="233">
        <v>500000000</v>
      </c>
      <c r="J28" s="233">
        <v>500000000</v>
      </c>
      <c r="K28" s="233">
        <v>200000000</v>
      </c>
      <c r="L28" s="233">
        <v>200000000</v>
      </c>
      <c r="M28" s="233">
        <v>200000000</v>
      </c>
      <c r="N28" s="233">
        <v>200000000</v>
      </c>
      <c r="O28" s="233">
        <v>150000000</v>
      </c>
      <c r="P28" s="233">
        <v>150000000</v>
      </c>
      <c r="Q28" s="234">
        <f t="shared" ref="Q28:Q34" si="12">SUM(E28:P28)</f>
        <v>3300000000</v>
      </c>
      <c r="R28" s="296"/>
      <c r="S28" s="297"/>
    </row>
    <row r="29" spans="2:19" ht="13.5" customHeight="1">
      <c r="B29" s="513"/>
      <c r="C29" s="502" t="s">
        <v>1839</v>
      </c>
      <c r="D29" s="502"/>
      <c r="E29" s="233">
        <f>E28</f>
        <v>300000000</v>
      </c>
      <c r="F29" s="233">
        <f>E29+F28</f>
        <v>450000000</v>
      </c>
      <c r="G29" s="233">
        <f t="shared" ref="G29:P29" si="13">F29+G28</f>
        <v>1050000000</v>
      </c>
      <c r="H29" s="233">
        <f t="shared" si="13"/>
        <v>1200000000</v>
      </c>
      <c r="I29" s="233">
        <f t="shared" si="13"/>
        <v>1700000000</v>
      </c>
      <c r="J29" s="233">
        <f t="shared" si="13"/>
        <v>2200000000</v>
      </c>
      <c r="K29" s="233">
        <f t="shared" si="13"/>
        <v>2400000000</v>
      </c>
      <c r="L29" s="233">
        <f t="shared" si="13"/>
        <v>2600000000</v>
      </c>
      <c r="M29" s="233">
        <f t="shared" si="13"/>
        <v>2800000000</v>
      </c>
      <c r="N29" s="233">
        <f t="shared" si="13"/>
        <v>3000000000</v>
      </c>
      <c r="O29" s="233">
        <f t="shared" si="13"/>
        <v>3150000000</v>
      </c>
      <c r="P29" s="233">
        <f t="shared" si="13"/>
        <v>3300000000</v>
      </c>
      <c r="Q29" s="234">
        <f t="shared" si="12"/>
        <v>24150000000</v>
      </c>
      <c r="R29" s="296"/>
      <c r="S29" s="297"/>
    </row>
    <row r="30" spans="2:19" ht="13.5" customHeight="1">
      <c r="B30" s="513"/>
      <c r="C30" s="52" t="s">
        <v>17</v>
      </c>
      <c r="D30" s="42">
        <f>P21</f>
        <v>9068570388</v>
      </c>
      <c r="E30" s="4">
        <f>D30+E29</f>
        <v>9368570388</v>
      </c>
      <c r="F30" s="4">
        <f>E30+F28</f>
        <v>9518570388</v>
      </c>
      <c r="G30" s="4">
        <f t="shared" ref="G30:P30" si="14">F30+G28</f>
        <v>10118570388</v>
      </c>
      <c r="H30" s="4">
        <f t="shared" si="14"/>
        <v>10268570388</v>
      </c>
      <c r="I30" s="4">
        <f t="shared" si="14"/>
        <v>10768570388</v>
      </c>
      <c r="J30" s="4">
        <f t="shared" si="14"/>
        <v>11268570388</v>
      </c>
      <c r="K30" s="4">
        <f t="shared" si="14"/>
        <v>11468570388</v>
      </c>
      <c r="L30" s="4">
        <f t="shared" si="14"/>
        <v>11668570388</v>
      </c>
      <c r="M30" s="4">
        <f t="shared" si="14"/>
        <v>11868570388</v>
      </c>
      <c r="N30" s="4">
        <f t="shared" si="14"/>
        <v>12068570388</v>
      </c>
      <c r="O30" s="4">
        <f t="shared" si="14"/>
        <v>12218570388</v>
      </c>
      <c r="P30" s="4">
        <f t="shared" si="14"/>
        <v>12368570388</v>
      </c>
      <c r="Q30" s="235">
        <f t="shared" si="12"/>
        <v>132972844656</v>
      </c>
    </row>
    <row r="31" spans="2:19" ht="13.5" customHeight="1">
      <c r="B31" s="513"/>
      <c r="C31" s="52" t="s">
        <v>49</v>
      </c>
      <c r="D31" s="42">
        <f>P22</f>
        <v>70522190</v>
      </c>
      <c r="E31" s="42">
        <f>E30*0.77%</f>
        <v>72137991.987599999</v>
      </c>
      <c r="F31" s="42">
        <f t="shared" ref="F31:P31" si="15">F30*0.77%</f>
        <v>73292991.987599999</v>
      </c>
      <c r="G31" s="42">
        <f t="shared" si="15"/>
        <v>77912991.987599999</v>
      </c>
      <c r="H31" s="42">
        <f t="shared" si="15"/>
        <v>79067991.987599999</v>
      </c>
      <c r="I31" s="42">
        <f t="shared" si="15"/>
        <v>82917991.987599999</v>
      </c>
      <c r="J31" s="42">
        <f t="shared" si="15"/>
        <v>86767991.987599999</v>
      </c>
      <c r="K31" s="42">
        <f t="shared" si="15"/>
        <v>88307991.987599999</v>
      </c>
      <c r="L31" s="42">
        <f t="shared" si="15"/>
        <v>89847991.987599999</v>
      </c>
      <c r="M31" s="42">
        <f t="shared" si="15"/>
        <v>91387991.987599999</v>
      </c>
      <c r="N31" s="42">
        <f t="shared" si="15"/>
        <v>92927991.987599999</v>
      </c>
      <c r="O31" s="42">
        <f t="shared" si="15"/>
        <v>94082991.987599999</v>
      </c>
      <c r="P31" s="42">
        <f t="shared" si="15"/>
        <v>95237991.987599999</v>
      </c>
      <c r="Q31" s="235">
        <f t="shared" si="12"/>
        <v>1023890903.8511997</v>
      </c>
    </row>
    <row r="32" spans="2:19" ht="13.5" customHeight="1">
      <c r="B32" s="513"/>
      <c r="C32" s="52" t="s">
        <v>1583</v>
      </c>
      <c r="D32" s="42">
        <f>P23</f>
        <v>33229448</v>
      </c>
      <c r="E32" s="42">
        <f>E31*50%</f>
        <v>36068995.993799999</v>
      </c>
      <c r="F32" s="42">
        <f t="shared" ref="F32:P32" si="16">F31*50%</f>
        <v>36646495.993799999</v>
      </c>
      <c r="G32" s="42">
        <f t="shared" si="16"/>
        <v>38956495.993799999</v>
      </c>
      <c r="H32" s="42">
        <f t="shared" si="16"/>
        <v>39533995.993799999</v>
      </c>
      <c r="I32" s="42">
        <f t="shared" si="16"/>
        <v>41458995.993799999</v>
      </c>
      <c r="J32" s="42">
        <f t="shared" si="16"/>
        <v>43383995.993799999</v>
      </c>
      <c r="K32" s="42">
        <f t="shared" si="16"/>
        <v>44153995.993799999</v>
      </c>
      <c r="L32" s="42">
        <f t="shared" si="16"/>
        <v>44923995.993799999</v>
      </c>
      <c r="M32" s="42">
        <f t="shared" si="16"/>
        <v>45693995.993799999</v>
      </c>
      <c r="N32" s="42">
        <f t="shared" si="16"/>
        <v>46463995.993799999</v>
      </c>
      <c r="O32" s="42">
        <f t="shared" si="16"/>
        <v>47041495.993799999</v>
      </c>
      <c r="P32" s="42">
        <f t="shared" si="16"/>
        <v>47618995.993799999</v>
      </c>
      <c r="Q32" s="235">
        <f t="shared" si="12"/>
        <v>511945451.92559987</v>
      </c>
    </row>
    <row r="33" spans="1:18" ht="13.5" customHeight="1">
      <c r="B33" s="513"/>
      <c r="C33" s="52" t="s">
        <v>1584</v>
      </c>
      <c r="D33" s="42">
        <f>P24</f>
        <v>37292742</v>
      </c>
      <c r="E33" s="43">
        <f>E31-E32</f>
        <v>36068995.993799999</v>
      </c>
      <c r="F33" s="43">
        <f t="shared" ref="F33:P33" si="17">F31-F32</f>
        <v>36646495.993799999</v>
      </c>
      <c r="G33" s="43">
        <f t="shared" si="17"/>
        <v>38956495.993799999</v>
      </c>
      <c r="H33" s="43">
        <f t="shared" si="17"/>
        <v>39533995.993799999</v>
      </c>
      <c r="I33" s="43">
        <f t="shared" si="17"/>
        <v>41458995.993799999</v>
      </c>
      <c r="J33" s="43">
        <f t="shared" si="17"/>
        <v>43383995.993799999</v>
      </c>
      <c r="K33" s="43">
        <f t="shared" si="17"/>
        <v>44153995.993799999</v>
      </c>
      <c r="L33" s="43">
        <f t="shared" si="17"/>
        <v>44923995.993799999</v>
      </c>
      <c r="M33" s="43">
        <f t="shared" si="17"/>
        <v>45693995.993799999</v>
      </c>
      <c r="N33" s="43">
        <f t="shared" si="17"/>
        <v>46463995.993799999</v>
      </c>
      <c r="O33" s="43">
        <f t="shared" si="17"/>
        <v>47041495.993799999</v>
      </c>
      <c r="P33" s="43">
        <f t="shared" si="17"/>
        <v>47618995.993799999</v>
      </c>
      <c r="Q33" s="237">
        <f t="shared" si="12"/>
        <v>511945451.92559987</v>
      </c>
    </row>
    <row r="34" spans="1:18" s="298" customFormat="1" ht="13.5" customHeight="1">
      <c r="B34" s="299"/>
      <c r="C34" s="300"/>
      <c r="D34" s="319"/>
      <c r="E34" s="320">
        <f>E33+F33</f>
        <v>72715491.987599999</v>
      </c>
      <c r="F34" s="320">
        <f t="shared" ref="F34:P34" si="18">F33+G33</f>
        <v>75602991.987599999</v>
      </c>
      <c r="G34" s="320">
        <f t="shared" si="18"/>
        <v>78490491.987599999</v>
      </c>
      <c r="H34" s="320">
        <f t="shared" si="18"/>
        <v>80992991.987599999</v>
      </c>
      <c r="I34" s="320">
        <f t="shared" si="18"/>
        <v>84842991.987599999</v>
      </c>
      <c r="J34" s="320">
        <f t="shared" si="18"/>
        <v>87537991.987599999</v>
      </c>
      <c r="K34" s="320">
        <f t="shared" si="18"/>
        <v>89077991.987599999</v>
      </c>
      <c r="L34" s="320">
        <f t="shared" si="18"/>
        <v>90617991.987599999</v>
      </c>
      <c r="M34" s="320">
        <f t="shared" si="18"/>
        <v>92157991.987599999</v>
      </c>
      <c r="N34" s="320">
        <f t="shared" si="18"/>
        <v>93505491.987599999</v>
      </c>
      <c r="O34" s="320">
        <f t="shared" si="18"/>
        <v>94660491.987599999</v>
      </c>
      <c r="P34" s="320">
        <f t="shared" si="18"/>
        <v>559564447.91939986</v>
      </c>
      <c r="Q34" s="321">
        <f t="shared" si="12"/>
        <v>1499767359.7829995</v>
      </c>
    </row>
    <row r="35" spans="1:18" s="298" customFormat="1" ht="13.5" hidden="1" customHeight="1">
      <c r="B35" s="299"/>
      <c r="C35" s="300"/>
      <c r="D35" s="319"/>
      <c r="E35" s="319"/>
      <c r="F35" s="319"/>
      <c r="G35" s="319"/>
      <c r="H35" s="319"/>
      <c r="I35" s="319"/>
      <c r="J35" s="319"/>
      <c r="K35" s="319"/>
      <c r="L35" s="319"/>
      <c r="M35" s="319"/>
      <c r="N35" s="319"/>
      <c r="O35" s="319"/>
      <c r="P35" s="319"/>
      <c r="Q35" s="322"/>
    </row>
    <row r="36" spans="1:18" ht="13.5" hidden="1" customHeight="1">
      <c r="B36" s="315" t="s">
        <v>1844</v>
      </c>
      <c r="C36" s="21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305"/>
      <c r="O36" s="10"/>
      <c r="P36" s="10"/>
      <c r="Q36" s="10" t="s">
        <v>890</v>
      </c>
    </row>
    <row r="37" spans="1:18" ht="13.5" hidden="1" customHeight="1">
      <c r="A37" s="15"/>
      <c r="B37" s="513" t="s">
        <v>1574</v>
      </c>
      <c r="C37" s="513" t="s">
        <v>118</v>
      </c>
      <c r="D37" s="513"/>
      <c r="E37" s="513" t="s">
        <v>53</v>
      </c>
      <c r="F37" s="513"/>
      <c r="G37" s="513"/>
      <c r="H37" s="513" t="s">
        <v>25</v>
      </c>
      <c r="I37" s="513"/>
      <c r="J37" s="513"/>
      <c r="K37" s="513" t="s">
        <v>28</v>
      </c>
      <c r="L37" s="513"/>
      <c r="M37" s="513"/>
      <c r="N37" s="513" t="s">
        <v>76</v>
      </c>
      <c r="O37" s="513"/>
      <c r="P37" s="513"/>
      <c r="Q37" s="513" t="s">
        <v>31</v>
      </c>
      <c r="R37" s="9"/>
    </row>
    <row r="38" spans="1:18" ht="13.5" hidden="1" customHeight="1">
      <c r="A38" s="15"/>
      <c r="B38" s="513"/>
      <c r="C38" s="513"/>
      <c r="D38" s="513"/>
      <c r="E38" s="277" t="s">
        <v>3</v>
      </c>
      <c r="F38" s="277" t="s">
        <v>4</v>
      </c>
      <c r="G38" s="277" t="s">
        <v>5</v>
      </c>
      <c r="H38" s="277" t="s">
        <v>6</v>
      </c>
      <c r="I38" s="277" t="s">
        <v>7</v>
      </c>
      <c r="J38" s="277" t="s">
        <v>8</v>
      </c>
      <c r="K38" s="277" t="s">
        <v>9</v>
      </c>
      <c r="L38" s="277" t="s">
        <v>10</v>
      </c>
      <c r="M38" s="277" t="s">
        <v>11</v>
      </c>
      <c r="N38" s="277" t="s">
        <v>12</v>
      </c>
      <c r="O38" s="277" t="s">
        <v>15</v>
      </c>
      <c r="P38" s="277" t="s">
        <v>16</v>
      </c>
      <c r="Q38" s="513"/>
      <c r="R38" s="9"/>
    </row>
    <row r="39" spans="1:18" ht="13.5" hidden="1" customHeight="1">
      <c r="A39" s="15"/>
      <c r="B39" s="513"/>
      <c r="C39" s="513" t="s">
        <v>116</v>
      </c>
      <c r="D39" s="104" t="s">
        <v>119</v>
      </c>
      <c r="E39" s="4">
        <v>3312763340</v>
      </c>
      <c r="F39" s="4">
        <v>3010833444</v>
      </c>
      <c r="G39" s="4">
        <v>3240008348</v>
      </c>
      <c r="H39" s="4">
        <v>3186827001</v>
      </c>
      <c r="I39" s="4">
        <v>3224933250</v>
      </c>
      <c r="J39" s="44">
        <v>3155902861</v>
      </c>
      <c r="K39" s="4">
        <v>3859664119</v>
      </c>
      <c r="L39" s="4">
        <v>3950507798</v>
      </c>
      <c r="M39" s="20">
        <v>3704671417</v>
      </c>
      <c r="N39" s="4">
        <v>3681777892</v>
      </c>
      <c r="O39" s="323">
        <v>3681777892</v>
      </c>
      <c r="P39" s="306">
        <v>4000000000</v>
      </c>
      <c r="Q39" s="4">
        <f>SUM(E39:P39)</f>
        <v>42009667362</v>
      </c>
      <c r="R39" s="9"/>
    </row>
    <row r="40" spans="1:18" ht="13.5" hidden="1" customHeight="1">
      <c r="A40" s="15"/>
      <c r="B40" s="513"/>
      <c r="C40" s="513"/>
      <c r="D40" s="104" t="s">
        <v>120</v>
      </c>
      <c r="E40" s="4">
        <v>1249109568</v>
      </c>
      <c r="F40" s="4">
        <v>1393467319</v>
      </c>
      <c r="G40" s="4">
        <v>1755085525</v>
      </c>
      <c r="H40" s="4">
        <v>1904109139</v>
      </c>
      <c r="I40" s="4">
        <v>1721262652</v>
      </c>
      <c r="J40" s="45">
        <v>1678784340</v>
      </c>
      <c r="K40" s="4">
        <v>2230562526</v>
      </c>
      <c r="L40" s="4">
        <v>2878438164</v>
      </c>
      <c r="M40" s="20">
        <v>3460984922</v>
      </c>
      <c r="N40" s="4">
        <v>3229691957</v>
      </c>
      <c r="O40" s="323">
        <v>3460984922</v>
      </c>
      <c r="P40" s="323">
        <v>3460984922</v>
      </c>
      <c r="Q40" s="4">
        <f t="shared" ref="Q40:Q57" si="19">SUM(E40:P40)</f>
        <v>28423465956</v>
      </c>
      <c r="R40" s="9"/>
    </row>
    <row r="41" spans="1:18" ht="13.5" hidden="1" customHeight="1">
      <c r="A41" s="15"/>
      <c r="B41" s="513"/>
      <c r="C41" s="513"/>
      <c r="D41" s="104" t="s">
        <v>121</v>
      </c>
      <c r="E41" s="4">
        <v>504538500</v>
      </c>
      <c r="F41" s="4">
        <v>525595600</v>
      </c>
      <c r="G41" s="4">
        <v>544440200</v>
      </c>
      <c r="H41" s="4">
        <v>620219800</v>
      </c>
      <c r="I41" s="4">
        <v>573780900</v>
      </c>
      <c r="J41" s="4">
        <v>667826900</v>
      </c>
      <c r="K41" s="4">
        <v>668086500</v>
      </c>
      <c r="L41" s="4">
        <v>762091200</v>
      </c>
      <c r="M41" s="20">
        <v>748639200</v>
      </c>
      <c r="N41" s="4">
        <v>519211800</v>
      </c>
      <c r="O41" s="306">
        <v>668086500</v>
      </c>
      <c r="P41" s="306">
        <v>668086500</v>
      </c>
      <c r="Q41" s="4">
        <f t="shared" si="19"/>
        <v>7470603600</v>
      </c>
      <c r="R41" s="9"/>
    </row>
    <row r="42" spans="1:18" ht="13.5" hidden="1" customHeight="1">
      <c r="A42" s="15"/>
      <c r="B42" s="513"/>
      <c r="C42" s="513"/>
      <c r="D42" s="104" t="s">
        <v>122</v>
      </c>
      <c r="E42" s="4">
        <v>4831200</v>
      </c>
      <c r="F42" s="4">
        <v>5115200</v>
      </c>
      <c r="G42" s="4">
        <v>4650600</v>
      </c>
      <c r="H42" s="4">
        <v>4789300</v>
      </c>
      <c r="I42" s="4">
        <v>4283000</v>
      </c>
      <c r="J42" s="4">
        <v>4852200</v>
      </c>
      <c r="K42" s="4">
        <v>6286000</v>
      </c>
      <c r="L42" s="4">
        <v>4797900</v>
      </c>
      <c r="M42" s="20">
        <v>5295800</v>
      </c>
      <c r="N42" s="4">
        <v>3987800</v>
      </c>
      <c r="O42" s="324">
        <v>3987800</v>
      </c>
      <c r="P42" s="306">
        <v>3987800</v>
      </c>
      <c r="Q42" s="4">
        <f t="shared" si="19"/>
        <v>56864600</v>
      </c>
      <c r="R42" s="9"/>
    </row>
    <row r="43" spans="1:18" ht="13.5" hidden="1" customHeight="1">
      <c r="A43" s="15"/>
      <c r="B43" s="513"/>
      <c r="C43" s="513"/>
      <c r="D43" s="104" t="s">
        <v>123</v>
      </c>
      <c r="E43" s="4">
        <v>989209305</v>
      </c>
      <c r="F43" s="4">
        <v>791666861</v>
      </c>
      <c r="G43" s="4">
        <v>1014154311</v>
      </c>
      <c r="H43" s="4">
        <v>1123973552</v>
      </c>
      <c r="I43" s="4">
        <v>1042743822</v>
      </c>
      <c r="J43" s="4">
        <v>823456678</v>
      </c>
      <c r="K43" s="4">
        <v>1149240968</v>
      </c>
      <c r="L43" s="4">
        <v>935511166</v>
      </c>
      <c r="M43" s="20">
        <v>815781252</v>
      </c>
      <c r="N43" s="4">
        <v>1220304085</v>
      </c>
      <c r="O43" s="306">
        <v>935511166</v>
      </c>
      <c r="P43" s="306">
        <v>935511166</v>
      </c>
      <c r="Q43" s="4">
        <f t="shared" si="19"/>
        <v>11777064332</v>
      </c>
      <c r="R43" s="9"/>
    </row>
    <row r="44" spans="1:18" ht="13.5" hidden="1" customHeight="1">
      <c r="A44" s="15"/>
      <c r="B44" s="513"/>
      <c r="C44" s="513"/>
      <c r="D44" s="46" t="s">
        <v>124</v>
      </c>
      <c r="E44" s="17">
        <v>47460300</v>
      </c>
      <c r="F44" s="17">
        <v>56494500</v>
      </c>
      <c r="G44" s="17">
        <v>94613400</v>
      </c>
      <c r="H44" s="4">
        <v>75177740</v>
      </c>
      <c r="I44" s="4">
        <v>77909600</v>
      </c>
      <c r="J44" s="4">
        <v>70423140</v>
      </c>
      <c r="K44" s="4">
        <v>83717280</v>
      </c>
      <c r="L44" s="4">
        <v>89182940</v>
      </c>
      <c r="M44" s="20">
        <v>89107680</v>
      </c>
      <c r="N44" s="4"/>
      <c r="O44" s="324"/>
      <c r="P44" s="306"/>
      <c r="Q44" s="4">
        <f t="shared" si="19"/>
        <v>684086580</v>
      </c>
      <c r="R44" s="9"/>
    </row>
    <row r="45" spans="1:18" ht="13.5" hidden="1" customHeight="1">
      <c r="A45" s="15"/>
      <c r="B45" s="513"/>
      <c r="C45" s="513"/>
      <c r="D45" s="277" t="s">
        <v>31</v>
      </c>
      <c r="E45" s="53">
        <f>SUM(E39:E44)</f>
        <v>6107912213</v>
      </c>
      <c r="F45" s="53">
        <f>SUM(F39:F44)</f>
        <v>5783172924</v>
      </c>
      <c r="G45" s="53">
        <f t="shared" ref="G45:H45" si="20">SUM(G39:G44)</f>
        <v>6652952384</v>
      </c>
      <c r="H45" s="53">
        <f t="shared" si="20"/>
        <v>6915096532</v>
      </c>
      <c r="I45" s="53">
        <f>SUM(I39:I44)</f>
        <v>6644913224</v>
      </c>
      <c r="J45" s="53">
        <f>SUM(J39:J44)</f>
        <v>6401246119</v>
      </c>
      <c r="K45" s="53">
        <f>SUM(K39:K44)</f>
        <v>7997557393</v>
      </c>
      <c r="L45" s="53">
        <f t="shared" ref="L45:M45" si="21">SUM(L39:L44)</f>
        <v>8620529168</v>
      </c>
      <c r="M45" s="54">
        <f t="shared" si="21"/>
        <v>8824480271</v>
      </c>
      <c r="N45" s="54">
        <v>8654973534</v>
      </c>
      <c r="O45" s="325">
        <v>8750348280</v>
      </c>
      <c r="P45" s="325">
        <v>9068570388</v>
      </c>
      <c r="Q45" s="53">
        <f t="shared" si="19"/>
        <v>90421752430</v>
      </c>
      <c r="R45" s="9"/>
    </row>
    <row r="46" spans="1:18" ht="13.5" hidden="1" customHeight="1">
      <c r="A46" s="15"/>
      <c r="B46" s="513"/>
      <c r="C46" s="513" t="s">
        <v>125</v>
      </c>
      <c r="D46" s="104" t="s">
        <v>126</v>
      </c>
      <c r="E46" s="4">
        <v>31132644</v>
      </c>
      <c r="F46" s="45">
        <v>28220209</v>
      </c>
      <c r="G46" s="4">
        <v>30196763</v>
      </c>
      <c r="H46" s="4">
        <v>29894974</v>
      </c>
      <c r="I46" s="4">
        <v>30472518</v>
      </c>
      <c r="J46" s="44">
        <v>29770450</v>
      </c>
      <c r="K46" s="4">
        <v>36594438</v>
      </c>
      <c r="L46" s="4">
        <v>37692307</v>
      </c>
      <c r="M46" s="20">
        <v>34919888</v>
      </c>
      <c r="N46" s="4">
        <v>34867206</v>
      </c>
      <c r="O46" s="324">
        <v>34867206</v>
      </c>
      <c r="P46" s="306">
        <v>39700000</v>
      </c>
      <c r="Q46" s="4">
        <f t="shared" si="19"/>
        <v>398328603</v>
      </c>
      <c r="R46" s="9"/>
    </row>
    <row r="47" spans="1:18" ht="13.5" hidden="1" customHeight="1">
      <c r="A47" s="15"/>
      <c r="B47" s="513"/>
      <c r="C47" s="513"/>
      <c r="D47" s="104" t="s">
        <v>127</v>
      </c>
      <c r="E47" s="4">
        <v>9259475</v>
      </c>
      <c r="F47" s="4">
        <v>10503913</v>
      </c>
      <c r="G47" s="4">
        <v>11933622</v>
      </c>
      <c r="H47" s="4">
        <v>13372362</v>
      </c>
      <c r="I47" s="4">
        <v>12786534</v>
      </c>
      <c r="J47" s="44">
        <v>12780033</v>
      </c>
      <c r="K47" s="4">
        <v>17010846</v>
      </c>
      <c r="L47" s="4">
        <v>18966145</v>
      </c>
      <c r="M47" s="20">
        <v>23525925</v>
      </c>
      <c r="N47" s="4">
        <v>21351072</v>
      </c>
      <c r="O47" s="323">
        <v>23525925</v>
      </c>
      <c r="P47" s="323">
        <v>23525925</v>
      </c>
      <c r="Q47" s="4">
        <f t="shared" si="19"/>
        <v>198541777</v>
      </c>
      <c r="R47" s="9"/>
    </row>
    <row r="48" spans="1:18" ht="13.5" hidden="1" customHeight="1">
      <c r="A48" s="15"/>
      <c r="B48" s="513"/>
      <c r="C48" s="513"/>
      <c r="D48" s="104" t="s">
        <v>128</v>
      </c>
      <c r="E48" s="4">
        <v>2531244</v>
      </c>
      <c r="F48" s="4">
        <v>2636886</v>
      </c>
      <c r="G48" s="4">
        <v>2731428</v>
      </c>
      <c r="H48" s="4">
        <v>3111611</v>
      </c>
      <c r="I48" s="4">
        <v>2878629</v>
      </c>
      <c r="J48" s="3">
        <v>3350453</v>
      </c>
      <c r="K48" s="4">
        <v>3351756</v>
      </c>
      <c r="L48" s="4">
        <v>3823372</v>
      </c>
      <c r="M48" s="20">
        <v>3755884</v>
      </c>
      <c r="N48" s="4">
        <v>2604859</v>
      </c>
      <c r="O48" s="324">
        <v>2604859</v>
      </c>
      <c r="P48" s="306">
        <v>2604859</v>
      </c>
      <c r="Q48" s="4">
        <f t="shared" si="19"/>
        <v>35985840</v>
      </c>
      <c r="R48" s="9"/>
    </row>
    <row r="49" spans="1:18" ht="13.5" hidden="1" customHeight="1">
      <c r="A49" s="15"/>
      <c r="B49" s="513"/>
      <c r="C49" s="513"/>
      <c r="D49" s="104" t="s">
        <v>129</v>
      </c>
      <c r="E49" s="4">
        <v>60076</v>
      </c>
      <c r="F49" s="4">
        <v>63611</v>
      </c>
      <c r="G49" s="4">
        <v>57714</v>
      </c>
      <c r="H49" s="4">
        <v>59474</v>
      </c>
      <c r="I49" s="4">
        <v>53090</v>
      </c>
      <c r="J49" s="3">
        <v>60183</v>
      </c>
      <c r="K49" s="4">
        <v>77897</v>
      </c>
      <c r="L49" s="4">
        <v>59424</v>
      </c>
      <c r="M49" s="20">
        <v>65729</v>
      </c>
      <c r="N49" s="4">
        <v>49489</v>
      </c>
      <c r="O49" s="324">
        <v>49489</v>
      </c>
      <c r="P49" s="306">
        <v>49489</v>
      </c>
      <c r="Q49" s="4">
        <f t="shared" si="19"/>
        <v>705665</v>
      </c>
      <c r="R49" s="9"/>
    </row>
    <row r="50" spans="1:18" ht="13.5" hidden="1" customHeight="1">
      <c r="A50" s="15"/>
      <c r="B50" s="513"/>
      <c r="C50" s="513"/>
      <c r="D50" s="104" t="s">
        <v>130</v>
      </c>
      <c r="E50" s="4">
        <v>3665919</v>
      </c>
      <c r="F50" s="4">
        <v>2968270</v>
      </c>
      <c r="G50" s="4">
        <v>4056496</v>
      </c>
      <c r="H50" s="4">
        <v>4495761</v>
      </c>
      <c r="I50" s="4">
        <v>4170854</v>
      </c>
      <c r="J50" s="3">
        <v>3293698</v>
      </c>
      <c r="K50" s="4">
        <v>4596834</v>
      </c>
      <c r="L50" s="4">
        <v>3741917</v>
      </c>
      <c r="M50" s="20">
        <v>3263001</v>
      </c>
      <c r="N50" s="4">
        <v>4881086</v>
      </c>
      <c r="O50" s="306">
        <v>3741917</v>
      </c>
      <c r="P50" s="306">
        <v>3741917</v>
      </c>
      <c r="Q50" s="4">
        <f t="shared" si="19"/>
        <v>46617670</v>
      </c>
      <c r="R50" s="9"/>
    </row>
    <row r="51" spans="1:18" ht="13.5" hidden="1" customHeight="1">
      <c r="A51" s="15"/>
      <c r="B51" s="513"/>
      <c r="C51" s="513"/>
      <c r="D51" s="104" t="s">
        <v>1845</v>
      </c>
      <c r="E51" s="4"/>
      <c r="F51" s="4"/>
      <c r="G51" s="4"/>
      <c r="H51" s="4"/>
      <c r="I51" s="4"/>
      <c r="J51" s="3"/>
      <c r="K51" s="4"/>
      <c r="L51" s="4"/>
      <c r="M51" s="20"/>
      <c r="N51" s="4"/>
      <c r="O51" s="324"/>
      <c r="P51" s="306"/>
      <c r="Q51" s="4"/>
      <c r="R51" s="9"/>
    </row>
    <row r="52" spans="1:18" ht="13.5" hidden="1" customHeight="1">
      <c r="A52" s="15"/>
      <c r="B52" s="513"/>
      <c r="C52" s="513"/>
      <c r="D52" s="46" t="s">
        <v>131</v>
      </c>
      <c r="E52" s="17">
        <v>325682.43181818066</v>
      </c>
      <c r="F52" s="16">
        <v>352486</v>
      </c>
      <c r="G52" s="16">
        <v>612008</v>
      </c>
      <c r="H52" s="4">
        <v>583412</v>
      </c>
      <c r="I52" s="4">
        <v>542660.98295454565</v>
      </c>
      <c r="J52" s="4">
        <v>381979.4090909083</v>
      </c>
      <c r="K52" s="4">
        <v>408593</v>
      </c>
      <c r="L52" s="4">
        <v>352986</v>
      </c>
      <c r="M52" s="20">
        <v>383284.69999999995</v>
      </c>
      <c r="N52" s="4">
        <v>1190909</v>
      </c>
      <c r="O52" s="324">
        <v>900000</v>
      </c>
      <c r="P52" s="324">
        <v>900000</v>
      </c>
      <c r="Q52" s="4">
        <f t="shared" si="19"/>
        <v>6934001.523863635</v>
      </c>
      <c r="R52" s="9"/>
    </row>
    <row r="53" spans="1:18" ht="13.5" hidden="1" customHeight="1">
      <c r="A53" s="15"/>
      <c r="B53" s="513"/>
      <c r="C53" s="513"/>
      <c r="D53" s="277" t="s">
        <v>31</v>
      </c>
      <c r="E53" s="53">
        <f>SUM(E46:E52)</f>
        <v>46975040.43181818</v>
      </c>
      <c r="F53" s="53">
        <f t="shared" ref="F53:H53" si="22">SUM(F46:F52)</f>
        <v>44745375</v>
      </c>
      <c r="G53" s="53">
        <f t="shared" si="22"/>
        <v>49588031</v>
      </c>
      <c r="H53" s="53">
        <f t="shared" si="22"/>
        <v>51517594</v>
      </c>
      <c r="I53" s="53">
        <f>SUM(I46:I52)</f>
        <v>50904285.982954547</v>
      </c>
      <c r="J53" s="53">
        <f>SUM(J46:J52)</f>
        <v>49636796.409090906</v>
      </c>
      <c r="K53" s="53">
        <f>SUM(K46:K52)</f>
        <v>62040364</v>
      </c>
      <c r="L53" s="53">
        <f t="shared" ref="L53" si="23">SUM(L46:L52)</f>
        <v>64636151</v>
      </c>
      <c r="M53" s="54">
        <f>SUM(M46:M52)</f>
        <v>65913711.700000003</v>
      </c>
      <c r="N53" s="54">
        <v>64944621</v>
      </c>
      <c r="O53" s="325">
        <v>65689396</v>
      </c>
      <c r="P53" s="325">
        <v>70522190</v>
      </c>
      <c r="Q53" s="53">
        <f t="shared" si="19"/>
        <v>687113556.52386355</v>
      </c>
      <c r="R53" s="9"/>
    </row>
    <row r="54" spans="1:18" ht="13.5" hidden="1" customHeight="1">
      <c r="A54" s="15"/>
      <c r="B54" s="513"/>
      <c r="C54" s="513" t="s">
        <v>132</v>
      </c>
      <c r="D54" s="104" t="s">
        <v>133</v>
      </c>
      <c r="E54" s="4">
        <v>1513615</v>
      </c>
      <c r="F54" s="4">
        <v>1576786</v>
      </c>
      <c r="G54" s="4">
        <v>1633320</v>
      </c>
      <c r="H54" s="4">
        <v>1860659</v>
      </c>
      <c r="I54" s="4">
        <v>1721342</v>
      </c>
      <c r="J54" s="3">
        <v>2003480</v>
      </c>
      <c r="K54" s="4">
        <v>2004259</v>
      </c>
      <c r="L54" s="4">
        <v>2286273</v>
      </c>
      <c r="M54" s="20">
        <v>2245917</v>
      </c>
      <c r="N54" s="4">
        <v>1557635</v>
      </c>
      <c r="O54" s="306">
        <v>2004259</v>
      </c>
      <c r="P54" s="306">
        <v>2004259</v>
      </c>
      <c r="Q54" s="4">
        <f t="shared" si="19"/>
        <v>22411804</v>
      </c>
      <c r="R54" s="9"/>
    </row>
    <row r="55" spans="1:18" ht="13.5" hidden="1" customHeight="1">
      <c r="A55" s="15"/>
      <c r="B55" s="513"/>
      <c r="C55" s="513"/>
      <c r="D55" s="104" t="s">
        <v>134</v>
      </c>
      <c r="E55" s="4">
        <v>22616499</v>
      </c>
      <c r="F55" s="4">
        <v>21205280</v>
      </c>
      <c r="G55" s="4">
        <v>22695830</v>
      </c>
      <c r="H55" s="4">
        <v>23106406</v>
      </c>
      <c r="I55" s="4">
        <v>23370982</v>
      </c>
      <c r="J55" s="3">
        <v>23010164</v>
      </c>
      <c r="K55" s="4">
        <v>28912087</v>
      </c>
      <c r="L55" s="4">
        <v>29073296</v>
      </c>
      <c r="M55" s="20">
        <v>29505845</v>
      </c>
      <c r="N55" s="4">
        <v>28215661</v>
      </c>
      <c r="O55" s="306">
        <v>28215661</v>
      </c>
      <c r="P55" s="306">
        <v>31116724</v>
      </c>
      <c r="Q55" s="4">
        <f t="shared" si="19"/>
        <v>311044435</v>
      </c>
      <c r="R55" s="9"/>
    </row>
    <row r="56" spans="1:18" ht="13.5" hidden="1" customHeight="1">
      <c r="A56" s="15"/>
      <c r="B56" s="513"/>
      <c r="C56" s="513"/>
      <c r="D56" s="104" t="s">
        <v>135</v>
      </c>
      <c r="E56" s="4">
        <v>6487</v>
      </c>
      <c r="F56" s="4">
        <v>3364</v>
      </c>
      <c r="G56" s="4">
        <v>227679</v>
      </c>
      <c r="H56" s="4">
        <v>239370</v>
      </c>
      <c r="I56" s="4">
        <v>175779</v>
      </c>
      <c r="J56" s="4">
        <v>108465</v>
      </c>
      <c r="K56" s="4">
        <v>9558</v>
      </c>
      <c r="L56" s="4">
        <v>48378</v>
      </c>
      <c r="M56" s="20">
        <v>223759</v>
      </c>
      <c r="N56" s="4">
        <v>165480</v>
      </c>
      <c r="O56" s="323">
        <v>223759</v>
      </c>
      <c r="P56" s="306">
        <v>108465</v>
      </c>
      <c r="Q56" s="4">
        <f t="shared" si="19"/>
        <v>1540543</v>
      </c>
      <c r="R56" s="9"/>
    </row>
    <row r="57" spans="1:18" ht="13.5" hidden="1" customHeight="1">
      <c r="A57" s="15"/>
      <c r="B57" s="513"/>
      <c r="C57" s="513"/>
      <c r="D57" s="277" t="s">
        <v>31</v>
      </c>
      <c r="E57" s="53">
        <f t="shared" ref="E57:M57" si="24">SUM(E54:E56)</f>
        <v>24136601</v>
      </c>
      <c r="F57" s="53">
        <f t="shared" si="24"/>
        <v>22785430</v>
      </c>
      <c r="G57" s="53">
        <f t="shared" si="24"/>
        <v>24556829</v>
      </c>
      <c r="H57" s="53">
        <f t="shared" si="24"/>
        <v>25206435</v>
      </c>
      <c r="I57" s="53">
        <f t="shared" si="24"/>
        <v>25268103</v>
      </c>
      <c r="J57" s="53">
        <f t="shared" si="24"/>
        <v>25122109</v>
      </c>
      <c r="K57" s="53">
        <f t="shared" si="24"/>
        <v>30925904</v>
      </c>
      <c r="L57" s="53">
        <f t="shared" si="24"/>
        <v>31407947</v>
      </c>
      <c r="M57" s="54">
        <f t="shared" si="24"/>
        <v>31975521</v>
      </c>
      <c r="N57" s="53">
        <v>29938776</v>
      </c>
      <c r="O57" s="325">
        <v>30443679</v>
      </c>
      <c r="P57" s="308">
        <v>33229448</v>
      </c>
      <c r="Q57" s="53">
        <f t="shared" si="19"/>
        <v>334996782</v>
      </c>
      <c r="R57" s="9"/>
    </row>
    <row r="58" spans="1:18" ht="13.5" hidden="1" customHeight="1">
      <c r="A58" s="15"/>
      <c r="B58" s="513"/>
      <c r="C58" s="513" t="s">
        <v>136</v>
      </c>
      <c r="D58" s="104" t="s">
        <v>137</v>
      </c>
      <c r="E58" s="16">
        <f>E46+E47+E48+E50+E49+-E54-E55-E56</f>
        <v>22512757</v>
      </c>
      <c r="F58" s="16">
        <f t="shared" ref="F58:K58" si="25">F46+F47+F48+F50+F49+-F54-F55-F56</f>
        <v>21607459</v>
      </c>
      <c r="G58" s="16">
        <f t="shared" si="25"/>
        <v>24419194</v>
      </c>
      <c r="H58" s="16">
        <v>25727747</v>
      </c>
      <c r="I58" s="16">
        <f t="shared" ref="I58:J58" si="26">I60-I52</f>
        <v>25093522</v>
      </c>
      <c r="J58" s="16">
        <f t="shared" si="26"/>
        <v>24132707.999999996</v>
      </c>
      <c r="K58" s="16">
        <f t="shared" si="25"/>
        <v>30705867</v>
      </c>
      <c r="L58" s="16">
        <f t="shared" ref="L58:M58" si="27">L60-L52</f>
        <v>32875218</v>
      </c>
      <c r="M58" s="16">
        <f t="shared" si="27"/>
        <v>33554906</v>
      </c>
      <c r="N58" s="16">
        <v>35005845</v>
      </c>
      <c r="O58" s="309">
        <v>35245717</v>
      </c>
      <c r="P58" s="309">
        <v>37292742</v>
      </c>
      <c r="Q58" s="16">
        <f>SUM(E58:P58)</f>
        <v>348173682</v>
      </c>
      <c r="R58" s="9"/>
    </row>
    <row r="59" spans="1:18" ht="13.5" hidden="1" customHeight="1">
      <c r="A59" s="15"/>
      <c r="B59" s="513"/>
      <c r="C59" s="513"/>
      <c r="D59" s="104" t="s">
        <v>117</v>
      </c>
      <c r="E59" s="16">
        <f t="shared" ref="E59:M59" si="28">E52</f>
        <v>325682.43181818066</v>
      </c>
      <c r="F59" s="16">
        <v>352486</v>
      </c>
      <c r="G59" s="16">
        <v>612008</v>
      </c>
      <c r="H59" s="16">
        <v>583412</v>
      </c>
      <c r="I59" s="16">
        <f t="shared" ref="I59:J59" si="29">I52</f>
        <v>542660.98295454565</v>
      </c>
      <c r="J59" s="16">
        <f t="shared" si="29"/>
        <v>381979.4090909083</v>
      </c>
      <c r="K59" s="16">
        <f t="shared" si="28"/>
        <v>408593</v>
      </c>
      <c r="L59" s="16">
        <f t="shared" si="28"/>
        <v>352986</v>
      </c>
      <c r="M59" s="16">
        <f t="shared" si="28"/>
        <v>383284.69999999995</v>
      </c>
      <c r="N59" s="16">
        <v>0</v>
      </c>
      <c r="O59" s="309">
        <v>0</v>
      </c>
      <c r="P59" s="309">
        <v>0</v>
      </c>
      <c r="Q59" s="16">
        <f>SUM(E59:P59)</f>
        <v>3943092.523863635</v>
      </c>
      <c r="R59" s="9"/>
    </row>
    <row r="60" spans="1:18" ht="13.5" hidden="1" customHeight="1">
      <c r="A60" s="15"/>
      <c r="B60" s="513"/>
      <c r="C60" s="513"/>
      <c r="D60" s="277" t="s">
        <v>31</v>
      </c>
      <c r="E60" s="53">
        <f>E58+E59</f>
        <v>22838439.43181818</v>
      </c>
      <c r="F60" s="53">
        <f t="shared" ref="F60:K60" si="30">F58+F59</f>
        <v>21959945</v>
      </c>
      <c r="G60" s="53">
        <f t="shared" si="30"/>
        <v>25031202</v>
      </c>
      <c r="H60" s="53">
        <f t="shared" si="30"/>
        <v>26311159</v>
      </c>
      <c r="I60" s="53">
        <f t="shared" ref="I60" si="31">SUM(I53-I57)</f>
        <v>25636182.982954547</v>
      </c>
      <c r="J60" s="53">
        <f t="shared" ref="J60" si="32">SUM(J53-J57)</f>
        <v>24514687.409090906</v>
      </c>
      <c r="K60" s="53">
        <f t="shared" si="30"/>
        <v>31114460</v>
      </c>
      <c r="L60" s="53">
        <f t="shared" ref="L60:P60" si="33">SUM(L53-L57)</f>
        <v>33228204</v>
      </c>
      <c r="M60" s="53">
        <f t="shared" si="33"/>
        <v>33938190.700000003</v>
      </c>
      <c r="N60" s="53">
        <f t="shared" si="33"/>
        <v>35005845</v>
      </c>
      <c r="O60" s="308">
        <f t="shared" si="33"/>
        <v>35245717</v>
      </c>
      <c r="P60" s="308">
        <f t="shared" si="33"/>
        <v>37292742</v>
      </c>
      <c r="Q60" s="53">
        <f>SUM(E60:P60)</f>
        <v>352116774.52386361</v>
      </c>
      <c r="R60" s="9"/>
    </row>
    <row r="61" spans="1:18" ht="13.5" hidden="1" customHeight="1">
      <c r="A61" s="15"/>
      <c r="B61" s="513"/>
      <c r="C61" s="513"/>
      <c r="D61" s="104" t="s">
        <v>69</v>
      </c>
      <c r="E61" s="37">
        <f t="shared" ref="E61:Q61" si="34">E60/E8</f>
        <v>1.1090427183646097</v>
      </c>
      <c r="F61" s="37">
        <f t="shared" si="34"/>
        <v>1.0215030023391312</v>
      </c>
      <c r="G61" s="37">
        <f t="shared" si="34"/>
        <v>1.1173431467808728</v>
      </c>
      <c r="H61" s="37">
        <f t="shared" si="34"/>
        <v>1.1288864044441977</v>
      </c>
      <c r="I61" s="37">
        <f t="shared" si="34"/>
        <v>1.0588244156488056</v>
      </c>
      <c r="J61" s="37">
        <f t="shared" si="34"/>
        <v>0.96905074070987607</v>
      </c>
      <c r="K61" s="37">
        <f t="shared" si="34"/>
        <v>1.0896429292403695</v>
      </c>
      <c r="L61" s="37">
        <f t="shared" si="34"/>
        <v>1.1279290614854454</v>
      </c>
      <c r="M61" s="37">
        <f t="shared" si="34"/>
        <v>1.1177029791837183</v>
      </c>
      <c r="N61" s="37">
        <f t="shared" si="34"/>
        <v>1.1326157186866113</v>
      </c>
      <c r="O61" s="37">
        <f t="shared" si="34"/>
        <v>1.133739147393203</v>
      </c>
      <c r="P61" s="37">
        <f t="shared" si="34"/>
        <v>1.1722916164718573</v>
      </c>
      <c r="Q61" s="37">
        <f t="shared" si="34"/>
        <v>1.1021036129780353</v>
      </c>
      <c r="R61" s="9"/>
    </row>
    <row r="62" spans="1:18" s="230" customFormat="1" ht="13.5" customHeight="1">
      <c r="B62" s="224"/>
      <c r="C62" s="224"/>
      <c r="D62" s="224"/>
      <c r="E62" s="225">
        <f>SUM(E60:G60)</f>
        <v>69829586.431818187</v>
      </c>
      <c r="F62" s="226"/>
      <c r="G62" s="227"/>
      <c r="H62" s="226">
        <f>SUM(H60:J60)</f>
        <v>76462029.392045453</v>
      </c>
      <c r="I62" s="226"/>
      <c r="J62" s="224"/>
      <c r="K62" s="228">
        <f>SUM(K60:M60)</f>
        <v>98280854.700000003</v>
      </c>
      <c r="L62" s="229"/>
      <c r="M62" s="224"/>
      <c r="N62" s="228">
        <f>SUM(N60:P60)</f>
        <v>107544304</v>
      </c>
      <c r="O62" s="224"/>
      <c r="P62" s="224"/>
      <c r="Q62" s="224"/>
    </row>
    <row r="63" spans="1:18" s="230" customFormat="1" ht="13.5" customHeight="1">
      <c r="B63" s="293" t="s">
        <v>1866</v>
      </c>
      <c r="C63" s="326"/>
      <c r="D63" s="326"/>
      <c r="E63" s="327"/>
      <c r="F63" s="243"/>
      <c r="G63" s="244"/>
      <c r="H63" s="243"/>
      <c r="I63" s="243"/>
      <c r="J63" s="241"/>
      <c r="K63" s="245"/>
      <c r="L63" s="246"/>
      <c r="M63" s="241"/>
      <c r="N63" s="245"/>
      <c r="O63" s="241"/>
      <c r="P63" s="241"/>
      <c r="Q63" s="241"/>
    </row>
    <row r="64" spans="1:18" s="230" customFormat="1" ht="13.5" customHeight="1">
      <c r="B64" s="502" t="s">
        <v>1867</v>
      </c>
      <c r="C64" s="513" t="s">
        <v>118</v>
      </c>
      <c r="D64" s="513"/>
      <c r="E64" s="513" t="s">
        <v>53</v>
      </c>
      <c r="F64" s="513"/>
      <c r="G64" s="513"/>
      <c r="H64" s="513" t="s">
        <v>25</v>
      </c>
      <c r="I64" s="513"/>
      <c r="J64" s="513"/>
      <c r="K64" s="513" t="s">
        <v>28</v>
      </c>
      <c r="L64" s="513"/>
      <c r="M64" s="513"/>
      <c r="N64" s="513" t="s">
        <v>76</v>
      </c>
      <c r="O64" s="513"/>
      <c r="P64" s="513"/>
      <c r="Q64" s="513" t="s">
        <v>31</v>
      </c>
    </row>
    <row r="65" spans="2:17" s="230" customFormat="1" ht="13.5" customHeight="1">
      <c r="B65" s="513"/>
      <c r="C65" s="513"/>
      <c r="D65" s="513"/>
      <c r="E65" s="277" t="s">
        <v>3</v>
      </c>
      <c r="F65" s="277" t="s">
        <v>4</v>
      </c>
      <c r="G65" s="277" t="s">
        <v>5</v>
      </c>
      <c r="H65" s="277" t="s">
        <v>6</v>
      </c>
      <c r="I65" s="277" t="s">
        <v>7</v>
      </c>
      <c r="J65" s="277" t="s">
        <v>8</v>
      </c>
      <c r="K65" s="277" t="s">
        <v>9</v>
      </c>
      <c r="L65" s="277" t="s">
        <v>10</v>
      </c>
      <c r="M65" s="277" t="s">
        <v>11</v>
      </c>
      <c r="N65" s="277" t="s">
        <v>12</v>
      </c>
      <c r="O65" s="277" t="s">
        <v>15</v>
      </c>
      <c r="P65" s="277" t="s">
        <v>16</v>
      </c>
      <c r="Q65" s="513"/>
    </row>
    <row r="66" spans="2:17" s="230" customFormat="1" ht="13.5" customHeight="1">
      <c r="B66" s="513"/>
      <c r="C66" s="513" t="s">
        <v>116</v>
      </c>
      <c r="D66" s="104" t="s">
        <v>119</v>
      </c>
      <c r="E66" s="4">
        <v>3312763340</v>
      </c>
      <c r="F66" s="4">
        <v>3010833444</v>
      </c>
      <c r="G66" s="4">
        <v>3240008348</v>
      </c>
      <c r="H66" s="4">
        <v>3186827001</v>
      </c>
      <c r="I66" s="4">
        <v>3224933250</v>
      </c>
      <c r="J66" s="44">
        <v>3155902861</v>
      </c>
      <c r="K66" s="4">
        <v>3859664119</v>
      </c>
      <c r="L66" s="4">
        <v>3950507798</v>
      </c>
      <c r="M66" s="20">
        <v>3704671417</v>
      </c>
      <c r="N66" s="4">
        <v>3681777892</v>
      </c>
      <c r="O66" s="328">
        <v>3681777892</v>
      </c>
      <c r="P66" s="328">
        <v>4000000000</v>
      </c>
      <c r="Q66" s="4">
        <f>SUM(E66:P66)</f>
        <v>42009667362</v>
      </c>
    </row>
    <row r="67" spans="2:17" s="230" customFormat="1" ht="13.5" customHeight="1">
      <c r="B67" s="513"/>
      <c r="C67" s="513"/>
      <c r="D67" s="104" t="s">
        <v>120</v>
      </c>
      <c r="E67" s="4">
        <v>1249109568</v>
      </c>
      <c r="F67" s="4">
        <v>1393467319</v>
      </c>
      <c r="G67" s="4">
        <v>1755085525</v>
      </c>
      <c r="H67" s="4">
        <v>1904109139</v>
      </c>
      <c r="I67" s="4">
        <v>1721262652</v>
      </c>
      <c r="J67" s="45">
        <v>1678784340</v>
      </c>
      <c r="K67" s="4">
        <v>2230562526</v>
      </c>
      <c r="L67" s="4">
        <v>2878438164</v>
      </c>
      <c r="M67" s="20">
        <v>3460984922</v>
      </c>
      <c r="N67" s="4">
        <v>3229691957</v>
      </c>
      <c r="O67" s="328">
        <v>3460984922</v>
      </c>
      <c r="P67" s="328">
        <v>3460984922</v>
      </c>
      <c r="Q67" s="4">
        <f t="shared" ref="Q67:Q76" si="35">SUM(E67:P67)</f>
        <v>28423465956</v>
      </c>
    </row>
    <row r="68" spans="2:17" s="230" customFormat="1" ht="13.5" customHeight="1">
      <c r="B68" s="513"/>
      <c r="C68" s="513"/>
      <c r="D68" s="104" t="s">
        <v>121</v>
      </c>
      <c r="E68" s="4">
        <v>504538500</v>
      </c>
      <c r="F68" s="4">
        <v>525595600</v>
      </c>
      <c r="G68" s="4">
        <v>544440200</v>
      </c>
      <c r="H68" s="4">
        <v>620219800</v>
      </c>
      <c r="I68" s="4">
        <v>573780900</v>
      </c>
      <c r="J68" s="4">
        <v>667826900</v>
      </c>
      <c r="K68" s="4">
        <v>668086500</v>
      </c>
      <c r="L68" s="4">
        <v>762091200</v>
      </c>
      <c r="M68" s="20">
        <v>748639200</v>
      </c>
      <c r="N68" s="4">
        <v>519211800</v>
      </c>
      <c r="O68" s="328">
        <v>668086500</v>
      </c>
      <c r="P68" s="328">
        <v>668086500</v>
      </c>
      <c r="Q68" s="4">
        <f t="shared" si="35"/>
        <v>7470603600</v>
      </c>
    </row>
    <row r="69" spans="2:17" s="230" customFormat="1" ht="13.5" customHeight="1">
      <c r="B69" s="513"/>
      <c r="C69" s="513"/>
      <c r="D69" s="104" t="s">
        <v>122</v>
      </c>
      <c r="E69" s="4">
        <v>4831200</v>
      </c>
      <c r="F69" s="4">
        <v>5115200</v>
      </c>
      <c r="G69" s="4">
        <v>4650600</v>
      </c>
      <c r="H69" s="4">
        <v>4789300</v>
      </c>
      <c r="I69" s="4">
        <v>4283000</v>
      </c>
      <c r="J69" s="4">
        <v>4852200</v>
      </c>
      <c r="K69" s="4">
        <v>6286000</v>
      </c>
      <c r="L69" s="4">
        <v>4797900</v>
      </c>
      <c r="M69" s="20">
        <v>5295800</v>
      </c>
      <c r="N69" s="4">
        <v>3987800</v>
      </c>
      <c r="O69" s="328">
        <v>3987800</v>
      </c>
      <c r="P69" s="328">
        <v>3987800</v>
      </c>
      <c r="Q69" s="4">
        <f t="shared" si="35"/>
        <v>56864600</v>
      </c>
    </row>
    <row r="70" spans="2:17" s="230" customFormat="1" ht="13.5" customHeight="1">
      <c r="B70" s="513"/>
      <c r="C70" s="513"/>
      <c r="D70" s="104" t="s">
        <v>123</v>
      </c>
      <c r="E70" s="4">
        <v>989209305</v>
      </c>
      <c r="F70" s="4">
        <v>791666861</v>
      </c>
      <c r="G70" s="4">
        <v>1014154311</v>
      </c>
      <c r="H70" s="4">
        <v>1123973552</v>
      </c>
      <c r="I70" s="4">
        <v>1042743822</v>
      </c>
      <c r="J70" s="4">
        <v>823456678</v>
      </c>
      <c r="K70" s="4">
        <v>1149240968</v>
      </c>
      <c r="L70" s="4">
        <v>935511166</v>
      </c>
      <c r="M70" s="20">
        <v>815781252</v>
      </c>
      <c r="N70" s="4">
        <v>1220304085</v>
      </c>
      <c r="O70" s="328">
        <v>935511166</v>
      </c>
      <c r="P70" s="328">
        <v>935511166</v>
      </c>
      <c r="Q70" s="4">
        <f t="shared" si="35"/>
        <v>11777064332</v>
      </c>
    </row>
    <row r="71" spans="2:17" s="230" customFormat="1" ht="13.5" customHeight="1">
      <c r="B71" s="513"/>
      <c r="C71" s="513"/>
      <c r="D71" s="277" t="s">
        <v>31</v>
      </c>
      <c r="E71" s="53">
        <f t="shared" ref="E71:N71" si="36">SUM(E66:E70)</f>
        <v>6060451913</v>
      </c>
      <c r="F71" s="53">
        <f t="shared" si="36"/>
        <v>5726678424</v>
      </c>
      <c r="G71" s="53">
        <f t="shared" si="36"/>
        <v>6558338984</v>
      </c>
      <c r="H71" s="53">
        <f t="shared" si="36"/>
        <v>6839918792</v>
      </c>
      <c r="I71" s="53">
        <f t="shared" si="36"/>
        <v>6567003624</v>
      </c>
      <c r="J71" s="53">
        <f t="shared" si="36"/>
        <v>6330822979</v>
      </c>
      <c r="K71" s="53">
        <f t="shared" si="36"/>
        <v>7913840113</v>
      </c>
      <c r="L71" s="53">
        <f t="shared" si="36"/>
        <v>8531346228</v>
      </c>
      <c r="M71" s="54">
        <f t="shared" si="36"/>
        <v>8735372591</v>
      </c>
      <c r="N71" s="54">
        <f t="shared" si="36"/>
        <v>8654973534</v>
      </c>
      <c r="O71" s="329">
        <v>8750348280</v>
      </c>
      <c r="P71" s="329">
        <v>9068570388</v>
      </c>
      <c r="Q71" s="53">
        <f t="shared" si="35"/>
        <v>89737665850</v>
      </c>
    </row>
    <row r="72" spans="2:17" s="230" customFormat="1" ht="13.5" customHeight="1">
      <c r="B72" s="513"/>
      <c r="C72" s="513" t="s">
        <v>125</v>
      </c>
      <c r="D72" s="104" t="s">
        <v>126</v>
      </c>
      <c r="E72" s="4">
        <v>31132644</v>
      </c>
      <c r="F72" s="45">
        <v>28220209</v>
      </c>
      <c r="G72" s="4">
        <v>30196763</v>
      </c>
      <c r="H72" s="4">
        <v>29894974</v>
      </c>
      <c r="I72" s="4">
        <v>30472518</v>
      </c>
      <c r="J72" s="44">
        <v>29770450</v>
      </c>
      <c r="K72" s="4">
        <v>36594438</v>
      </c>
      <c r="L72" s="4">
        <v>37692307</v>
      </c>
      <c r="M72" s="20">
        <v>34919888</v>
      </c>
      <c r="N72" s="4">
        <v>34867206</v>
      </c>
      <c r="O72" s="328">
        <v>34867206</v>
      </c>
      <c r="P72" s="328">
        <v>39700000</v>
      </c>
      <c r="Q72" s="4">
        <f t="shared" si="35"/>
        <v>398328603</v>
      </c>
    </row>
    <row r="73" spans="2:17" s="230" customFormat="1" ht="13.5" customHeight="1">
      <c r="B73" s="513"/>
      <c r="C73" s="513"/>
      <c r="D73" s="104" t="s">
        <v>127</v>
      </c>
      <c r="E73" s="4">
        <v>9259475</v>
      </c>
      <c r="F73" s="4">
        <v>10503913</v>
      </c>
      <c r="G73" s="4">
        <v>11933622</v>
      </c>
      <c r="H73" s="4">
        <v>13372362</v>
      </c>
      <c r="I73" s="4">
        <v>12786534</v>
      </c>
      <c r="J73" s="44">
        <v>12780033</v>
      </c>
      <c r="K73" s="4">
        <v>17010846</v>
      </c>
      <c r="L73" s="4">
        <v>18966145</v>
      </c>
      <c r="M73" s="20">
        <v>23525925</v>
      </c>
      <c r="N73" s="4">
        <v>21351072</v>
      </c>
      <c r="O73" s="328">
        <v>23525925</v>
      </c>
      <c r="P73" s="328">
        <v>23525925</v>
      </c>
      <c r="Q73" s="4">
        <f t="shared" si="35"/>
        <v>198541777</v>
      </c>
    </row>
    <row r="74" spans="2:17" s="230" customFormat="1" ht="13.5" customHeight="1">
      <c r="B74" s="513"/>
      <c r="C74" s="513"/>
      <c r="D74" s="104" t="s">
        <v>128</v>
      </c>
      <c r="E74" s="4">
        <v>2531244</v>
      </c>
      <c r="F74" s="4">
        <v>2636886</v>
      </c>
      <c r="G74" s="4">
        <v>2731428</v>
      </c>
      <c r="H74" s="4">
        <v>3111611</v>
      </c>
      <c r="I74" s="4">
        <v>2878629</v>
      </c>
      <c r="J74" s="3">
        <v>3350453</v>
      </c>
      <c r="K74" s="4">
        <v>3351756</v>
      </c>
      <c r="L74" s="4">
        <v>3823372</v>
      </c>
      <c r="M74" s="20">
        <v>3755884</v>
      </c>
      <c r="N74" s="4">
        <v>2604859</v>
      </c>
      <c r="O74" s="328">
        <v>2604859</v>
      </c>
      <c r="P74" s="328">
        <v>2604859</v>
      </c>
      <c r="Q74" s="4">
        <f t="shared" si="35"/>
        <v>35985840</v>
      </c>
    </row>
    <row r="75" spans="2:17" s="230" customFormat="1" ht="13.5" customHeight="1">
      <c r="B75" s="513"/>
      <c r="C75" s="513"/>
      <c r="D75" s="104" t="s">
        <v>129</v>
      </c>
      <c r="E75" s="4">
        <v>60076</v>
      </c>
      <c r="F75" s="4">
        <v>63611</v>
      </c>
      <c r="G75" s="4">
        <v>57714</v>
      </c>
      <c r="H75" s="4">
        <v>59474</v>
      </c>
      <c r="I75" s="4">
        <v>53090</v>
      </c>
      <c r="J75" s="3">
        <v>60183</v>
      </c>
      <c r="K75" s="4">
        <v>77897</v>
      </c>
      <c r="L75" s="4">
        <v>59424</v>
      </c>
      <c r="M75" s="20">
        <v>65729</v>
      </c>
      <c r="N75" s="4">
        <v>49489</v>
      </c>
      <c r="O75" s="328">
        <v>49489</v>
      </c>
      <c r="P75" s="328">
        <v>49489</v>
      </c>
      <c r="Q75" s="4">
        <f t="shared" si="35"/>
        <v>705665</v>
      </c>
    </row>
    <row r="76" spans="2:17" s="230" customFormat="1" ht="13.5" customHeight="1">
      <c r="B76" s="513"/>
      <c r="C76" s="513"/>
      <c r="D76" s="104" t="s">
        <v>130</v>
      </c>
      <c r="E76" s="4">
        <v>3665919</v>
      </c>
      <c r="F76" s="4">
        <v>2968270</v>
      </c>
      <c r="G76" s="4">
        <v>4056496</v>
      </c>
      <c r="H76" s="4">
        <v>4495761</v>
      </c>
      <c r="I76" s="4">
        <v>4170854</v>
      </c>
      <c r="J76" s="3">
        <v>3293698</v>
      </c>
      <c r="K76" s="4">
        <v>4596834</v>
      </c>
      <c r="L76" s="4">
        <v>3741917</v>
      </c>
      <c r="M76" s="20">
        <v>3263001</v>
      </c>
      <c r="N76" s="4">
        <v>4881086</v>
      </c>
      <c r="O76" s="328">
        <v>3741917</v>
      </c>
      <c r="P76" s="328">
        <v>3741917</v>
      </c>
      <c r="Q76" s="4">
        <f t="shared" si="35"/>
        <v>46617670</v>
      </c>
    </row>
    <row r="77" spans="2:17" s="230" customFormat="1" ht="13.5" customHeight="1">
      <c r="B77" s="513"/>
      <c r="C77" s="513"/>
      <c r="D77" s="104" t="s">
        <v>1845</v>
      </c>
      <c r="E77" s="4"/>
      <c r="F77" s="4"/>
      <c r="G77" s="4"/>
      <c r="H77" s="4"/>
      <c r="I77" s="4"/>
      <c r="J77" s="3"/>
      <c r="K77" s="4"/>
      <c r="L77" s="4"/>
      <c r="M77" s="20"/>
      <c r="N77" s="4">
        <v>1190909</v>
      </c>
      <c r="O77" s="328">
        <v>900000</v>
      </c>
      <c r="P77" s="328">
        <v>900000</v>
      </c>
      <c r="Q77" s="4">
        <f>SUM(N77:P77)</f>
        <v>2990909</v>
      </c>
    </row>
    <row r="78" spans="2:17" s="230" customFormat="1" ht="13.5" customHeight="1">
      <c r="B78" s="513"/>
      <c r="C78" s="513"/>
      <c r="D78" s="277" t="s">
        <v>31</v>
      </c>
      <c r="E78" s="53">
        <f t="shared" ref="E78:N78" si="37">SUM(E72:E77)</f>
        <v>46649358</v>
      </c>
      <c r="F78" s="53">
        <f t="shared" si="37"/>
        <v>44392889</v>
      </c>
      <c r="G78" s="53">
        <f t="shared" si="37"/>
        <v>48976023</v>
      </c>
      <c r="H78" s="53">
        <f t="shared" si="37"/>
        <v>50934182</v>
      </c>
      <c r="I78" s="53">
        <f t="shared" si="37"/>
        <v>50361625</v>
      </c>
      <c r="J78" s="53">
        <f t="shared" si="37"/>
        <v>49254817</v>
      </c>
      <c r="K78" s="53">
        <f t="shared" si="37"/>
        <v>61631771</v>
      </c>
      <c r="L78" s="53">
        <f t="shared" si="37"/>
        <v>64283165</v>
      </c>
      <c r="M78" s="54">
        <f t="shared" si="37"/>
        <v>65530427</v>
      </c>
      <c r="N78" s="54">
        <f t="shared" si="37"/>
        <v>64944621</v>
      </c>
      <c r="O78" s="329">
        <v>65689396</v>
      </c>
      <c r="P78" s="329">
        <v>70522190</v>
      </c>
      <c r="Q78" s="53">
        <f t="shared" ref="Q78:Q82" si="38">SUM(E78:P78)</f>
        <v>683170464</v>
      </c>
    </row>
    <row r="79" spans="2:17" s="230" customFormat="1" ht="13.5" customHeight="1">
      <c r="B79" s="513"/>
      <c r="C79" s="513" t="s">
        <v>132</v>
      </c>
      <c r="D79" s="104" t="s">
        <v>133</v>
      </c>
      <c r="E79" s="4">
        <v>1513615</v>
      </c>
      <c r="F79" s="4">
        <v>1576786</v>
      </c>
      <c r="G79" s="4">
        <v>1633320</v>
      </c>
      <c r="H79" s="4">
        <v>1860659</v>
      </c>
      <c r="I79" s="4">
        <v>1721342</v>
      </c>
      <c r="J79" s="3">
        <v>2003480</v>
      </c>
      <c r="K79" s="4">
        <v>2004259</v>
      </c>
      <c r="L79" s="4">
        <v>2286273</v>
      </c>
      <c r="M79" s="20">
        <v>2245917</v>
      </c>
      <c r="N79" s="4">
        <v>1557635</v>
      </c>
      <c r="O79" s="328">
        <v>2004259</v>
      </c>
      <c r="P79" s="328">
        <v>2004259</v>
      </c>
      <c r="Q79" s="4">
        <f t="shared" si="38"/>
        <v>22411804</v>
      </c>
    </row>
    <row r="80" spans="2:17" s="230" customFormat="1" ht="13.5" customHeight="1">
      <c r="B80" s="513"/>
      <c r="C80" s="513"/>
      <c r="D80" s="104" t="s">
        <v>134</v>
      </c>
      <c r="E80" s="4">
        <v>22616499</v>
      </c>
      <c r="F80" s="4">
        <v>21205280</v>
      </c>
      <c r="G80" s="4">
        <v>22695830</v>
      </c>
      <c r="H80" s="4">
        <v>23106406</v>
      </c>
      <c r="I80" s="4">
        <v>23370982</v>
      </c>
      <c r="J80" s="3">
        <v>23010164</v>
      </c>
      <c r="K80" s="4">
        <v>28912087</v>
      </c>
      <c r="L80" s="4">
        <v>29073296</v>
      </c>
      <c r="M80" s="20">
        <v>29505845</v>
      </c>
      <c r="N80" s="4">
        <v>28215661</v>
      </c>
      <c r="O80" s="328">
        <v>28215661</v>
      </c>
      <c r="P80" s="328">
        <v>31116724</v>
      </c>
      <c r="Q80" s="4">
        <f t="shared" si="38"/>
        <v>311044435</v>
      </c>
    </row>
    <row r="81" spans="1:18" s="230" customFormat="1" ht="13.5" customHeight="1">
      <c r="B81" s="513"/>
      <c r="C81" s="513"/>
      <c r="D81" s="104" t="s">
        <v>135</v>
      </c>
      <c r="E81" s="4">
        <v>6487</v>
      </c>
      <c r="F81" s="4">
        <v>3364</v>
      </c>
      <c r="G81" s="4">
        <v>227679</v>
      </c>
      <c r="H81" s="4">
        <v>239370</v>
      </c>
      <c r="I81" s="4">
        <v>175779</v>
      </c>
      <c r="J81" s="4">
        <v>108465</v>
      </c>
      <c r="K81" s="4">
        <v>9558</v>
      </c>
      <c r="L81" s="4">
        <v>48378</v>
      </c>
      <c r="M81" s="20">
        <v>223759</v>
      </c>
      <c r="N81" s="4">
        <v>165480</v>
      </c>
      <c r="O81" s="328">
        <v>223759</v>
      </c>
      <c r="P81" s="328">
        <v>108465</v>
      </c>
      <c r="Q81" s="4">
        <f t="shared" si="38"/>
        <v>1540543</v>
      </c>
    </row>
    <row r="82" spans="1:18" s="230" customFormat="1" ht="13.5" customHeight="1">
      <c r="B82" s="513"/>
      <c r="C82" s="513"/>
      <c r="D82" s="277" t="s">
        <v>31</v>
      </c>
      <c r="E82" s="53">
        <f t="shared" ref="E82:N82" si="39">SUM(E79:E81)</f>
        <v>24136601</v>
      </c>
      <c r="F82" s="53">
        <f t="shared" si="39"/>
        <v>22785430</v>
      </c>
      <c r="G82" s="53">
        <f t="shared" si="39"/>
        <v>24556829</v>
      </c>
      <c r="H82" s="53">
        <f t="shared" si="39"/>
        <v>25206435</v>
      </c>
      <c r="I82" s="53">
        <f t="shared" si="39"/>
        <v>25268103</v>
      </c>
      <c r="J82" s="53">
        <f t="shared" si="39"/>
        <v>25122109</v>
      </c>
      <c r="K82" s="53">
        <f t="shared" si="39"/>
        <v>30925904</v>
      </c>
      <c r="L82" s="53">
        <f t="shared" si="39"/>
        <v>31407947</v>
      </c>
      <c r="M82" s="54">
        <f t="shared" si="39"/>
        <v>31975521</v>
      </c>
      <c r="N82" s="54">
        <f t="shared" si="39"/>
        <v>29938776</v>
      </c>
      <c r="O82" s="329">
        <v>30443679</v>
      </c>
      <c r="P82" s="329">
        <v>33229448</v>
      </c>
      <c r="Q82" s="53">
        <f t="shared" si="38"/>
        <v>334996782</v>
      </c>
    </row>
    <row r="83" spans="1:18" s="230" customFormat="1" ht="13.5" customHeight="1">
      <c r="B83" s="513"/>
      <c r="C83" s="513" t="s">
        <v>136</v>
      </c>
      <c r="D83" s="104" t="s">
        <v>137</v>
      </c>
      <c r="E83" s="330">
        <f>E78-E82</f>
        <v>22512757</v>
      </c>
      <c r="F83" s="330">
        <f t="shared" ref="F83:Q83" si="40">F78-F82</f>
        <v>21607459</v>
      </c>
      <c r="G83" s="330">
        <f t="shared" si="40"/>
        <v>24419194</v>
      </c>
      <c r="H83" s="330">
        <f t="shared" si="40"/>
        <v>25727747</v>
      </c>
      <c r="I83" s="330">
        <f t="shared" si="40"/>
        <v>25093522</v>
      </c>
      <c r="J83" s="330">
        <f t="shared" si="40"/>
        <v>24132708</v>
      </c>
      <c r="K83" s="330">
        <f t="shared" si="40"/>
        <v>30705867</v>
      </c>
      <c r="L83" s="330">
        <f t="shared" si="40"/>
        <v>32875218</v>
      </c>
      <c r="M83" s="330">
        <f t="shared" si="40"/>
        <v>33554906</v>
      </c>
      <c r="N83" s="330">
        <f t="shared" si="40"/>
        <v>35005845</v>
      </c>
      <c r="O83" s="16">
        <v>35245717</v>
      </c>
      <c r="P83" s="16">
        <v>37292742</v>
      </c>
      <c r="Q83" s="330">
        <f t="shared" si="40"/>
        <v>348173682</v>
      </c>
    </row>
    <row r="84" spans="1:18" ht="13.5" customHeight="1">
      <c r="B84" s="513"/>
      <c r="C84" s="513"/>
      <c r="D84" s="104" t="s">
        <v>69</v>
      </c>
      <c r="E84" s="37">
        <f>E83/E16</f>
        <v>1.0970834913496736</v>
      </c>
      <c r="F84" s="37">
        <f t="shared" ref="F84:Q84" si="41">F83/F16</f>
        <v>1.0068014228355693</v>
      </c>
      <c r="G84" s="37">
        <f t="shared" si="41"/>
        <v>1.1170934497287013</v>
      </c>
      <c r="H84" s="37">
        <f t="shared" si="41"/>
        <v>1.1392336587580512</v>
      </c>
      <c r="I84" s="37">
        <f t="shared" si="41"/>
        <v>1.0601815385548552</v>
      </c>
      <c r="J84" s="37">
        <f t="shared" si="41"/>
        <v>0.98204910167968873</v>
      </c>
      <c r="K84" s="37">
        <f t="shared" si="41"/>
        <v>1.1033000563174371</v>
      </c>
      <c r="L84" s="37">
        <f t="shared" si="41"/>
        <v>1.1440556695694735</v>
      </c>
      <c r="M84" s="37">
        <f t="shared" si="41"/>
        <v>1.1320654129135765</v>
      </c>
      <c r="N84" s="37">
        <f t="shared" si="41"/>
        <v>1.1611682791703621</v>
      </c>
      <c r="O84" s="37">
        <f t="shared" si="41"/>
        <v>1.1593825551713624</v>
      </c>
      <c r="P84" s="37">
        <f t="shared" si="41"/>
        <v>1.206608375890494</v>
      </c>
      <c r="Q84" s="37">
        <f t="shared" si="41"/>
        <v>1.1147638407531355</v>
      </c>
    </row>
    <row r="85" spans="1:18" ht="13.5" customHeight="1">
      <c r="B85" s="220"/>
      <c r="C85" s="221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</row>
    <row r="86" spans="1:18" ht="13.5" customHeight="1">
      <c r="B86" s="331" t="s">
        <v>1868</v>
      </c>
      <c r="C86" s="21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305"/>
      <c r="O86" s="10"/>
      <c r="P86" s="10"/>
      <c r="Q86" s="10" t="s">
        <v>890</v>
      </c>
    </row>
    <row r="87" spans="1:18" ht="13.5" customHeight="1">
      <c r="A87" s="15"/>
      <c r="B87" s="502" t="s">
        <v>1582</v>
      </c>
      <c r="C87" s="502" t="s">
        <v>1578</v>
      </c>
      <c r="D87" s="502"/>
      <c r="E87" s="276" t="s">
        <v>3</v>
      </c>
      <c r="F87" s="276" t="s">
        <v>4</v>
      </c>
      <c r="G87" s="276" t="s">
        <v>5</v>
      </c>
      <c r="H87" s="276" t="s">
        <v>6</v>
      </c>
      <c r="I87" s="276" t="s">
        <v>7</v>
      </c>
      <c r="J87" s="276" t="s">
        <v>8</v>
      </c>
      <c r="K87" s="276" t="s">
        <v>9</v>
      </c>
      <c r="L87" s="276" t="s">
        <v>10</v>
      </c>
      <c r="M87" s="276" t="s">
        <v>11</v>
      </c>
      <c r="N87" s="276" t="s">
        <v>12</v>
      </c>
      <c r="O87" s="276" t="s">
        <v>15</v>
      </c>
      <c r="P87" s="276" t="s">
        <v>16</v>
      </c>
      <c r="Q87" s="276" t="s">
        <v>2</v>
      </c>
      <c r="R87" s="9"/>
    </row>
    <row r="88" spans="1:18" ht="13.5" customHeight="1">
      <c r="A88" s="15"/>
      <c r="B88" s="513"/>
      <c r="C88" s="502" t="s">
        <v>1579</v>
      </c>
      <c r="D88" s="502"/>
      <c r="E88" s="233">
        <v>300000000</v>
      </c>
      <c r="F88" s="233">
        <v>150000000</v>
      </c>
      <c r="G88" s="233">
        <v>600000000</v>
      </c>
      <c r="H88" s="233">
        <v>150000000</v>
      </c>
      <c r="I88" s="233">
        <v>500000000</v>
      </c>
      <c r="J88" s="233">
        <v>500000000</v>
      </c>
      <c r="K88" s="233">
        <v>200000000</v>
      </c>
      <c r="L88" s="233">
        <v>200000000</v>
      </c>
      <c r="M88" s="233">
        <v>200000000</v>
      </c>
      <c r="N88" s="233">
        <v>200000000</v>
      </c>
      <c r="O88" s="233">
        <v>150000000</v>
      </c>
      <c r="P88" s="233">
        <v>150000000</v>
      </c>
      <c r="Q88" s="234">
        <f>SUM(E88:P88)</f>
        <v>3300000000</v>
      </c>
      <c r="R88" s="223">
        <v>1</v>
      </c>
    </row>
    <row r="89" spans="1:18" ht="13.5" customHeight="1">
      <c r="A89" s="15"/>
      <c r="B89" s="513"/>
      <c r="C89" s="52" t="s">
        <v>17</v>
      </c>
      <c r="D89" s="42">
        <f>P21</f>
        <v>9068570388</v>
      </c>
      <c r="E89" s="42">
        <v>9368570388</v>
      </c>
      <c r="F89" s="42">
        <v>9518570388</v>
      </c>
      <c r="G89" s="42">
        <v>10118570388</v>
      </c>
      <c r="H89" s="42">
        <v>10268570388</v>
      </c>
      <c r="I89" s="42">
        <v>10768570388</v>
      </c>
      <c r="J89" s="42">
        <v>11268570388</v>
      </c>
      <c r="K89" s="42">
        <v>11468570388</v>
      </c>
      <c r="L89" s="42">
        <v>11668570388</v>
      </c>
      <c r="M89" s="42">
        <v>11868570388</v>
      </c>
      <c r="N89" s="42">
        <v>12068570388</v>
      </c>
      <c r="O89" s="42">
        <v>12218570388</v>
      </c>
      <c r="P89" s="42">
        <v>12368570388</v>
      </c>
      <c r="Q89" s="235">
        <v>132972844656</v>
      </c>
      <c r="R89" s="9"/>
    </row>
    <row r="90" spans="1:18" ht="13.5" customHeight="1">
      <c r="A90" s="15"/>
      <c r="B90" s="513"/>
      <c r="C90" s="52" t="s">
        <v>49</v>
      </c>
      <c r="D90" s="42">
        <f>P22</f>
        <v>70522190</v>
      </c>
      <c r="E90" s="42">
        <f>E89*0.77%</f>
        <v>72137991.987599999</v>
      </c>
      <c r="F90" s="42">
        <f t="shared" ref="F90:P90" si="42">F89*0.77%</f>
        <v>73292991.987599999</v>
      </c>
      <c r="G90" s="42">
        <f t="shared" si="42"/>
        <v>77912991.987599999</v>
      </c>
      <c r="H90" s="42">
        <f t="shared" si="42"/>
        <v>79067991.987599999</v>
      </c>
      <c r="I90" s="42">
        <f t="shared" si="42"/>
        <v>82917991.987599999</v>
      </c>
      <c r="J90" s="42">
        <f t="shared" si="42"/>
        <v>86767991.987599999</v>
      </c>
      <c r="K90" s="42">
        <f t="shared" si="42"/>
        <v>88307991.987599999</v>
      </c>
      <c r="L90" s="42">
        <f t="shared" si="42"/>
        <v>89847991.987599999</v>
      </c>
      <c r="M90" s="42">
        <f t="shared" si="42"/>
        <v>91387991.987599999</v>
      </c>
      <c r="N90" s="42">
        <f t="shared" si="42"/>
        <v>92927991.987599999</v>
      </c>
      <c r="O90" s="42">
        <f t="shared" si="42"/>
        <v>94082991.987599999</v>
      </c>
      <c r="P90" s="42">
        <f t="shared" si="42"/>
        <v>95237991.987599999</v>
      </c>
      <c r="Q90" s="235">
        <f>SUM(E90:P90)</f>
        <v>1023890903.8511997</v>
      </c>
      <c r="R90" s="9"/>
    </row>
    <row r="91" spans="1:18" ht="13.5" customHeight="1">
      <c r="A91" s="15"/>
      <c r="B91" s="513"/>
      <c r="C91" s="276" t="s">
        <v>1583</v>
      </c>
      <c r="D91" s="332">
        <f>P83</f>
        <v>37292742</v>
      </c>
      <c r="E91" s="42">
        <f>E90*50%</f>
        <v>36068995.993799999</v>
      </c>
      <c r="F91" s="42">
        <f t="shared" ref="F91:P91" si="43">F90*50%</f>
        <v>36646495.993799999</v>
      </c>
      <c r="G91" s="42">
        <f t="shared" si="43"/>
        <v>38956495.993799999</v>
      </c>
      <c r="H91" s="42">
        <f t="shared" si="43"/>
        <v>39533995.993799999</v>
      </c>
      <c r="I91" s="42">
        <f t="shared" si="43"/>
        <v>41458995.993799999</v>
      </c>
      <c r="J91" s="42">
        <f t="shared" si="43"/>
        <v>43383995.993799999</v>
      </c>
      <c r="K91" s="42">
        <f t="shared" si="43"/>
        <v>44153995.993799999</v>
      </c>
      <c r="L91" s="42">
        <f t="shared" si="43"/>
        <v>44923995.993799999</v>
      </c>
      <c r="M91" s="42">
        <f t="shared" si="43"/>
        <v>45693995.993799999</v>
      </c>
      <c r="N91" s="42">
        <f t="shared" si="43"/>
        <v>46463995.993799999</v>
      </c>
      <c r="O91" s="42">
        <f t="shared" si="43"/>
        <v>47041495.993799999</v>
      </c>
      <c r="P91" s="42">
        <f t="shared" si="43"/>
        <v>47618995.993799999</v>
      </c>
      <c r="Q91" s="235">
        <f>SUM(E91:P91)</f>
        <v>511945451.92559987</v>
      </c>
      <c r="R91" s="9"/>
    </row>
    <row r="92" spans="1:18" ht="13.5" customHeight="1">
      <c r="A92" s="15"/>
      <c r="B92" s="513"/>
      <c r="C92" s="276" t="s">
        <v>1584</v>
      </c>
      <c r="D92" s="332">
        <f>P85</f>
        <v>0</v>
      </c>
      <c r="E92" s="43">
        <f>E90-E91</f>
        <v>36068995.993799999</v>
      </c>
      <c r="F92" s="43">
        <f t="shared" ref="F92:P92" si="44">F90-F91</f>
        <v>36646495.993799999</v>
      </c>
      <c r="G92" s="43">
        <f t="shared" si="44"/>
        <v>38956495.993799999</v>
      </c>
      <c r="H92" s="43">
        <f t="shared" si="44"/>
        <v>39533995.993799999</v>
      </c>
      <c r="I92" s="43">
        <f t="shared" si="44"/>
        <v>41458995.993799999</v>
      </c>
      <c r="J92" s="43">
        <f t="shared" si="44"/>
        <v>43383995.993799999</v>
      </c>
      <c r="K92" s="43">
        <f t="shared" si="44"/>
        <v>44153995.993799999</v>
      </c>
      <c r="L92" s="43">
        <f t="shared" si="44"/>
        <v>44923995.993799999</v>
      </c>
      <c r="M92" s="43">
        <f t="shared" si="44"/>
        <v>45693995.993799999</v>
      </c>
      <c r="N92" s="43">
        <f t="shared" si="44"/>
        <v>46463995.993799999</v>
      </c>
      <c r="O92" s="43">
        <f t="shared" si="44"/>
        <v>47041495.993799999</v>
      </c>
      <c r="P92" s="43">
        <f t="shared" si="44"/>
        <v>47618995.993799999</v>
      </c>
      <c r="Q92" s="237">
        <f>SUM(E92:P92)</f>
        <v>511945451.92559987</v>
      </c>
      <c r="R92" s="9"/>
    </row>
    <row r="93" spans="1:18" ht="13.5" customHeight="1">
      <c r="B93" s="231"/>
      <c r="C93" s="222"/>
      <c r="D93" s="11"/>
      <c r="E93" s="231" t="s">
        <v>1585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8" ht="13.5" customHeight="1">
      <c r="B94" s="220"/>
      <c r="C94" s="221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</row>
    <row r="95" spans="1:18" ht="13.5" customHeight="1">
      <c r="A95" s="15"/>
      <c r="B95" s="502" t="s">
        <v>1586</v>
      </c>
      <c r="C95" s="502" t="s">
        <v>1578</v>
      </c>
      <c r="D95" s="502"/>
      <c r="E95" s="276" t="s">
        <v>3</v>
      </c>
      <c r="F95" s="276" t="s">
        <v>4</v>
      </c>
      <c r="G95" s="276" t="s">
        <v>5</v>
      </c>
      <c r="H95" s="276" t="s">
        <v>6</v>
      </c>
      <c r="I95" s="276" t="s">
        <v>7</v>
      </c>
      <c r="J95" s="276" t="s">
        <v>8</v>
      </c>
      <c r="K95" s="276" t="s">
        <v>9</v>
      </c>
      <c r="L95" s="276" t="s">
        <v>10</v>
      </c>
      <c r="M95" s="276" t="s">
        <v>11</v>
      </c>
      <c r="N95" s="276" t="s">
        <v>12</v>
      </c>
      <c r="O95" s="276" t="s">
        <v>15</v>
      </c>
      <c r="P95" s="276" t="s">
        <v>16</v>
      </c>
      <c r="Q95" s="276" t="s">
        <v>2</v>
      </c>
      <c r="R95" s="9"/>
    </row>
    <row r="96" spans="1:18" ht="13.5" customHeight="1">
      <c r="A96" s="15"/>
      <c r="B96" s="513"/>
      <c r="C96" s="502" t="s">
        <v>1579</v>
      </c>
      <c r="D96" s="502"/>
      <c r="E96" s="233">
        <f>Q96/12</f>
        <v>275000000</v>
      </c>
      <c r="F96" s="233">
        <f>E96</f>
        <v>275000000</v>
      </c>
      <c r="G96" s="233">
        <f t="shared" ref="G96:P96" si="45">F96</f>
        <v>275000000</v>
      </c>
      <c r="H96" s="233">
        <f t="shared" si="45"/>
        <v>275000000</v>
      </c>
      <c r="I96" s="233">
        <f t="shared" si="45"/>
        <v>275000000</v>
      </c>
      <c r="J96" s="233">
        <f t="shared" si="45"/>
        <v>275000000</v>
      </c>
      <c r="K96" s="233">
        <f t="shared" si="45"/>
        <v>275000000</v>
      </c>
      <c r="L96" s="233">
        <f t="shared" si="45"/>
        <v>275000000</v>
      </c>
      <c r="M96" s="233">
        <f t="shared" si="45"/>
        <v>275000000</v>
      </c>
      <c r="N96" s="233">
        <f t="shared" si="45"/>
        <v>275000000</v>
      </c>
      <c r="O96" s="233">
        <f t="shared" si="45"/>
        <v>275000000</v>
      </c>
      <c r="P96" s="233">
        <f t="shared" si="45"/>
        <v>275000000</v>
      </c>
      <c r="Q96" s="234">
        <f>Q88*R96</f>
        <v>3300000000</v>
      </c>
      <c r="R96" s="223">
        <v>1</v>
      </c>
    </row>
    <row r="97" spans="1:18" ht="13.5" customHeight="1">
      <c r="A97" s="15"/>
      <c r="B97" s="513"/>
      <c r="C97" s="276" t="s">
        <v>17</v>
      </c>
      <c r="D97" s="332">
        <f>P89</f>
        <v>12368570388</v>
      </c>
      <c r="E97" s="42">
        <f>D97+E96</f>
        <v>12643570388</v>
      </c>
      <c r="F97" s="42">
        <f t="shared" ref="F97:P97" si="46">E97+F96</f>
        <v>12918570388</v>
      </c>
      <c r="G97" s="42">
        <f t="shared" si="46"/>
        <v>13193570388</v>
      </c>
      <c r="H97" s="42">
        <f t="shared" si="46"/>
        <v>13468570388</v>
      </c>
      <c r="I97" s="42">
        <f t="shared" si="46"/>
        <v>13743570388</v>
      </c>
      <c r="J97" s="42">
        <f t="shared" si="46"/>
        <v>14018570388</v>
      </c>
      <c r="K97" s="42">
        <f t="shared" si="46"/>
        <v>14293570388</v>
      </c>
      <c r="L97" s="42">
        <f t="shared" si="46"/>
        <v>14568570388</v>
      </c>
      <c r="M97" s="42">
        <f t="shared" si="46"/>
        <v>14843570388</v>
      </c>
      <c r="N97" s="42">
        <f t="shared" si="46"/>
        <v>15118570388</v>
      </c>
      <c r="O97" s="42">
        <f t="shared" si="46"/>
        <v>15393570388</v>
      </c>
      <c r="P97" s="42">
        <f t="shared" si="46"/>
        <v>15668570388</v>
      </c>
      <c r="Q97" s="235">
        <f>SUM(E97:P97)</f>
        <v>169872844656</v>
      </c>
      <c r="R97" s="9"/>
    </row>
    <row r="98" spans="1:18" ht="13.5" customHeight="1">
      <c r="A98" s="15"/>
      <c r="B98" s="513"/>
      <c r="C98" s="276" t="s">
        <v>49</v>
      </c>
      <c r="D98" s="332">
        <f>P90</f>
        <v>95237991.987599999</v>
      </c>
      <c r="E98" s="42">
        <f>E97*0.77%</f>
        <v>97355491.987599999</v>
      </c>
      <c r="F98" s="42">
        <f t="shared" ref="F98:P98" si="47">F97*0.77%</f>
        <v>99472991.987599999</v>
      </c>
      <c r="G98" s="42">
        <f t="shared" si="47"/>
        <v>101590491.9876</v>
      </c>
      <c r="H98" s="42">
        <f t="shared" si="47"/>
        <v>103707991.9876</v>
      </c>
      <c r="I98" s="42">
        <f t="shared" si="47"/>
        <v>105825491.9876</v>
      </c>
      <c r="J98" s="42">
        <f t="shared" si="47"/>
        <v>107942991.9876</v>
      </c>
      <c r="K98" s="42">
        <f t="shared" si="47"/>
        <v>110060491.9876</v>
      </c>
      <c r="L98" s="42">
        <f t="shared" si="47"/>
        <v>112177991.9876</v>
      </c>
      <c r="M98" s="42">
        <f t="shared" si="47"/>
        <v>114295491.9876</v>
      </c>
      <c r="N98" s="42">
        <f t="shared" si="47"/>
        <v>116412991.9876</v>
      </c>
      <c r="O98" s="42">
        <f t="shared" si="47"/>
        <v>118530491.9876</v>
      </c>
      <c r="P98" s="42">
        <f t="shared" si="47"/>
        <v>120647991.9876</v>
      </c>
      <c r="Q98" s="235">
        <f>SUM(F98:P98)</f>
        <v>1210665411.8636</v>
      </c>
      <c r="R98" s="9"/>
    </row>
    <row r="99" spans="1:18" ht="13.5" customHeight="1">
      <c r="A99" s="15"/>
      <c r="B99" s="513"/>
      <c r="C99" s="276" t="s">
        <v>1587</v>
      </c>
      <c r="D99" s="332">
        <f>P91</f>
        <v>47618995.993799999</v>
      </c>
      <c r="E99" s="42">
        <f>E98*48%</f>
        <v>46730636.154047996</v>
      </c>
      <c r="F99" s="42">
        <f t="shared" ref="F99:P99" si="48">F98*48%</f>
        <v>47747036.154047996</v>
      </c>
      <c r="G99" s="42">
        <f t="shared" si="48"/>
        <v>48763436.154047996</v>
      </c>
      <c r="H99" s="42">
        <f t="shared" si="48"/>
        <v>49779836.154047996</v>
      </c>
      <c r="I99" s="42">
        <f t="shared" si="48"/>
        <v>50796236.154047996</v>
      </c>
      <c r="J99" s="42">
        <f t="shared" si="48"/>
        <v>51812636.154047996</v>
      </c>
      <c r="K99" s="42">
        <f t="shared" si="48"/>
        <v>52829036.154047996</v>
      </c>
      <c r="L99" s="42">
        <f t="shared" si="48"/>
        <v>53845436.154047996</v>
      </c>
      <c r="M99" s="42">
        <f t="shared" si="48"/>
        <v>54861836.154047996</v>
      </c>
      <c r="N99" s="42">
        <f t="shared" si="48"/>
        <v>55878236.154047996</v>
      </c>
      <c r="O99" s="42">
        <f t="shared" si="48"/>
        <v>56894636.154047996</v>
      </c>
      <c r="P99" s="42">
        <f t="shared" si="48"/>
        <v>57911036.154047996</v>
      </c>
      <c r="Q99" s="235">
        <f>SUM(E99:P99)</f>
        <v>627850033.84857583</v>
      </c>
      <c r="R99" s="9"/>
    </row>
    <row r="100" spans="1:18" ht="13.5" customHeight="1">
      <c r="A100" s="15"/>
      <c r="B100" s="513"/>
      <c r="C100" s="52" t="s">
        <v>1588</v>
      </c>
      <c r="D100" s="42">
        <f>P92</f>
        <v>47618995.993799999</v>
      </c>
      <c r="E100" s="43">
        <f>E98-E99</f>
        <v>50624855.833552003</v>
      </c>
      <c r="F100" s="43">
        <f t="shared" ref="F100:P100" si="49">F98-F99</f>
        <v>51725955.833552003</v>
      </c>
      <c r="G100" s="43">
        <f t="shared" si="49"/>
        <v>52827055.833552003</v>
      </c>
      <c r="H100" s="43">
        <f t="shared" si="49"/>
        <v>53928155.833552003</v>
      </c>
      <c r="I100" s="43">
        <f t="shared" si="49"/>
        <v>55029255.833552003</v>
      </c>
      <c r="J100" s="43">
        <f t="shared" si="49"/>
        <v>56130355.833552003</v>
      </c>
      <c r="K100" s="43">
        <f t="shared" si="49"/>
        <v>57231455.833552003</v>
      </c>
      <c r="L100" s="43">
        <f t="shared" si="49"/>
        <v>58332555.833552003</v>
      </c>
      <c r="M100" s="43">
        <f t="shared" si="49"/>
        <v>59433655.833552003</v>
      </c>
      <c r="N100" s="43">
        <f t="shared" si="49"/>
        <v>60534755.833552003</v>
      </c>
      <c r="O100" s="43">
        <f t="shared" si="49"/>
        <v>61635855.833552003</v>
      </c>
      <c r="P100" s="43">
        <f t="shared" si="49"/>
        <v>62736955.833552003</v>
      </c>
      <c r="Q100" s="237">
        <f>SUM(E100:P100)</f>
        <v>680170870.00262403</v>
      </c>
      <c r="R100" s="9"/>
    </row>
    <row r="101" spans="1:18" ht="13.5" customHeight="1">
      <c r="B101" s="231"/>
      <c r="C101" s="222"/>
      <c r="D101" s="11"/>
      <c r="E101" s="231" t="s">
        <v>1589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8" ht="13.5" customHeight="1">
      <c r="B102" s="220"/>
      <c r="C102" s="221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</row>
    <row r="103" spans="1:18" ht="13.5" customHeight="1">
      <c r="A103" s="15"/>
      <c r="B103" s="502" t="s">
        <v>1590</v>
      </c>
      <c r="C103" s="514" t="s">
        <v>1578</v>
      </c>
      <c r="D103" s="514"/>
      <c r="E103" s="278" t="s">
        <v>3</v>
      </c>
      <c r="F103" s="278" t="s">
        <v>4</v>
      </c>
      <c r="G103" s="278" t="s">
        <v>5</v>
      </c>
      <c r="H103" s="278" t="s">
        <v>6</v>
      </c>
      <c r="I103" s="278" t="s">
        <v>7</v>
      </c>
      <c r="J103" s="278" t="s">
        <v>8</v>
      </c>
      <c r="K103" s="278" t="s">
        <v>9</v>
      </c>
      <c r="L103" s="278" t="s">
        <v>10</v>
      </c>
      <c r="M103" s="278" t="s">
        <v>11</v>
      </c>
      <c r="N103" s="278" t="s">
        <v>12</v>
      </c>
      <c r="O103" s="278" t="s">
        <v>15</v>
      </c>
      <c r="P103" s="278" t="s">
        <v>16</v>
      </c>
      <c r="Q103" s="278" t="s">
        <v>2</v>
      </c>
      <c r="R103" s="9"/>
    </row>
    <row r="104" spans="1:18" ht="13.5" customHeight="1">
      <c r="A104" s="15"/>
      <c r="B104" s="513"/>
      <c r="C104" s="502" t="s">
        <v>1579</v>
      </c>
      <c r="D104" s="502"/>
      <c r="E104" s="233">
        <f>Q104/12</f>
        <v>275000000</v>
      </c>
      <c r="F104" s="233">
        <f>E104</f>
        <v>275000000</v>
      </c>
      <c r="G104" s="233">
        <f t="shared" ref="G104:P104" si="50">F104</f>
        <v>275000000</v>
      </c>
      <c r="H104" s="233">
        <f t="shared" si="50"/>
        <v>275000000</v>
      </c>
      <c r="I104" s="233">
        <f t="shared" si="50"/>
        <v>275000000</v>
      </c>
      <c r="J104" s="233">
        <f t="shared" si="50"/>
        <v>275000000</v>
      </c>
      <c r="K104" s="233">
        <f t="shared" si="50"/>
        <v>275000000</v>
      </c>
      <c r="L104" s="233">
        <f t="shared" si="50"/>
        <v>275000000</v>
      </c>
      <c r="M104" s="233">
        <f t="shared" si="50"/>
        <v>275000000</v>
      </c>
      <c r="N104" s="233">
        <f t="shared" si="50"/>
        <v>275000000</v>
      </c>
      <c r="O104" s="233">
        <f t="shared" si="50"/>
        <v>275000000</v>
      </c>
      <c r="P104" s="233">
        <f t="shared" si="50"/>
        <v>275000000</v>
      </c>
      <c r="Q104" s="234">
        <f>Q96*R104</f>
        <v>3300000000</v>
      </c>
      <c r="R104" s="223">
        <v>1</v>
      </c>
    </row>
    <row r="105" spans="1:18" ht="13.5" customHeight="1">
      <c r="A105" s="15"/>
      <c r="B105" s="513"/>
      <c r="C105" s="52" t="s">
        <v>17</v>
      </c>
      <c r="D105" s="42">
        <f>P97</f>
        <v>15668570388</v>
      </c>
      <c r="E105" s="42">
        <f>D105+E104</f>
        <v>15943570388</v>
      </c>
      <c r="F105" s="42">
        <f t="shared" ref="F105:P105" si="51">E105+F104</f>
        <v>16218570388</v>
      </c>
      <c r="G105" s="42">
        <f t="shared" si="51"/>
        <v>16493570388</v>
      </c>
      <c r="H105" s="42">
        <f t="shared" si="51"/>
        <v>16768570388</v>
      </c>
      <c r="I105" s="42">
        <f t="shared" si="51"/>
        <v>17043570388</v>
      </c>
      <c r="J105" s="42">
        <f t="shared" si="51"/>
        <v>17318570388</v>
      </c>
      <c r="K105" s="42">
        <f t="shared" si="51"/>
        <v>17593570388</v>
      </c>
      <c r="L105" s="42">
        <f t="shared" si="51"/>
        <v>17868570388</v>
      </c>
      <c r="M105" s="42">
        <f t="shared" si="51"/>
        <v>18143570388</v>
      </c>
      <c r="N105" s="42">
        <f t="shared" si="51"/>
        <v>18418570388</v>
      </c>
      <c r="O105" s="42">
        <f t="shared" si="51"/>
        <v>18693570388</v>
      </c>
      <c r="P105" s="42">
        <f t="shared" si="51"/>
        <v>18968570388</v>
      </c>
      <c r="Q105" s="235">
        <f>SUM(E105:P105)</f>
        <v>209472844656</v>
      </c>
      <c r="R105" s="9"/>
    </row>
    <row r="106" spans="1:18" ht="13.5" customHeight="1">
      <c r="A106" s="15"/>
      <c r="B106" s="513"/>
      <c r="C106" s="52" t="s">
        <v>49</v>
      </c>
      <c r="D106" s="42">
        <f>P98</f>
        <v>120647991.9876</v>
      </c>
      <c r="E106" s="42">
        <f>E105*0.77%</f>
        <v>122765491.9876</v>
      </c>
      <c r="F106" s="42">
        <f t="shared" ref="F106:P106" si="52">F105*0.77%</f>
        <v>124882991.9876</v>
      </c>
      <c r="G106" s="42">
        <f t="shared" si="52"/>
        <v>127000491.9876</v>
      </c>
      <c r="H106" s="42">
        <f t="shared" si="52"/>
        <v>129117991.9876</v>
      </c>
      <c r="I106" s="42">
        <f t="shared" si="52"/>
        <v>131235491.9876</v>
      </c>
      <c r="J106" s="42">
        <f t="shared" si="52"/>
        <v>133352991.9876</v>
      </c>
      <c r="K106" s="42">
        <f t="shared" si="52"/>
        <v>135470491.9876</v>
      </c>
      <c r="L106" s="42">
        <f t="shared" si="52"/>
        <v>137587991.9876</v>
      </c>
      <c r="M106" s="42">
        <f t="shared" si="52"/>
        <v>139705491.9876</v>
      </c>
      <c r="N106" s="42">
        <f t="shared" si="52"/>
        <v>141822991.9876</v>
      </c>
      <c r="O106" s="42">
        <f t="shared" si="52"/>
        <v>143940491.9876</v>
      </c>
      <c r="P106" s="42">
        <f t="shared" si="52"/>
        <v>146057991.9876</v>
      </c>
      <c r="Q106" s="235">
        <f>SUM(E106:P106)</f>
        <v>1612940903.8512001</v>
      </c>
      <c r="R106" s="9"/>
    </row>
    <row r="107" spans="1:18" ht="13.5" customHeight="1">
      <c r="A107" s="15"/>
      <c r="B107" s="513"/>
      <c r="C107" s="52" t="s">
        <v>1587</v>
      </c>
      <c r="D107" s="42">
        <f>P99</f>
        <v>57911036.154047996</v>
      </c>
      <c r="E107" s="42">
        <f>E106*48%</f>
        <v>58927436.154047996</v>
      </c>
      <c r="F107" s="42">
        <f t="shared" ref="F107:P107" si="53">F106*48%</f>
        <v>59943836.154047996</v>
      </c>
      <c r="G107" s="42">
        <f t="shared" si="53"/>
        <v>60960236.154047996</v>
      </c>
      <c r="H107" s="42">
        <f t="shared" si="53"/>
        <v>61976636.154047996</v>
      </c>
      <c r="I107" s="42">
        <f t="shared" si="53"/>
        <v>62993036.154047996</v>
      </c>
      <c r="J107" s="42">
        <f t="shared" si="53"/>
        <v>64009436.154047996</v>
      </c>
      <c r="K107" s="42">
        <f t="shared" si="53"/>
        <v>65025836.154047996</v>
      </c>
      <c r="L107" s="42">
        <f t="shared" si="53"/>
        <v>66042236.154047996</v>
      </c>
      <c r="M107" s="42">
        <f t="shared" si="53"/>
        <v>67058636.154047996</v>
      </c>
      <c r="N107" s="42">
        <f t="shared" si="53"/>
        <v>68075036.154047996</v>
      </c>
      <c r="O107" s="42">
        <f t="shared" si="53"/>
        <v>69091436.154047996</v>
      </c>
      <c r="P107" s="42">
        <f t="shared" si="53"/>
        <v>70107836.154047996</v>
      </c>
      <c r="Q107" s="235">
        <f>SUM(E107:P107)</f>
        <v>774211633.84857571</v>
      </c>
      <c r="R107" s="9"/>
    </row>
    <row r="108" spans="1:18" ht="13.5" customHeight="1">
      <c r="A108" s="15"/>
      <c r="B108" s="513"/>
      <c r="C108" s="52" t="s">
        <v>1588</v>
      </c>
      <c r="D108" s="42">
        <f>P100</f>
        <v>62736955.833552003</v>
      </c>
      <c r="E108" s="43">
        <f>E106-E107</f>
        <v>63838055.833552003</v>
      </c>
      <c r="F108" s="43">
        <f t="shared" ref="F108:P108" si="54">F106-F107</f>
        <v>64939155.833552003</v>
      </c>
      <c r="G108" s="43">
        <f t="shared" si="54"/>
        <v>66040255.833552003</v>
      </c>
      <c r="H108" s="43">
        <f t="shared" si="54"/>
        <v>67141355.833552003</v>
      </c>
      <c r="I108" s="43">
        <f t="shared" si="54"/>
        <v>68242455.833552003</v>
      </c>
      <c r="J108" s="43">
        <f t="shared" si="54"/>
        <v>69343555.833552003</v>
      </c>
      <c r="K108" s="43">
        <f t="shared" si="54"/>
        <v>70444655.833552003</v>
      </c>
      <c r="L108" s="43">
        <f t="shared" si="54"/>
        <v>71545755.833552003</v>
      </c>
      <c r="M108" s="43">
        <f t="shared" si="54"/>
        <v>72646855.833552003</v>
      </c>
      <c r="N108" s="43">
        <f t="shared" si="54"/>
        <v>73747955.833552003</v>
      </c>
      <c r="O108" s="43">
        <f t="shared" si="54"/>
        <v>74849055.833552003</v>
      </c>
      <c r="P108" s="43">
        <f t="shared" si="54"/>
        <v>75950155.833552003</v>
      </c>
      <c r="Q108" s="237">
        <f>SUM(E108:P108)</f>
        <v>838729270.00262403</v>
      </c>
      <c r="R108" s="9"/>
    </row>
    <row r="109" spans="1:18" ht="13.5" customHeight="1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</sheetData>
  <mergeCells count="47">
    <mergeCell ref="B103:B108"/>
    <mergeCell ref="C103:D103"/>
    <mergeCell ref="C104:D104"/>
    <mergeCell ref="B87:B92"/>
    <mergeCell ref="C87:D87"/>
    <mergeCell ref="C88:D88"/>
    <mergeCell ref="B95:B100"/>
    <mergeCell ref="C95:D95"/>
    <mergeCell ref="C96:D96"/>
    <mergeCell ref="N64:P64"/>
    <mergeCell ref="Q64:Q65"/>
    <mergeCell ref="C66:C71"/>
    <mergeCell ref="C72:C78"/>
    <mergeCell ref="C79:C82"/>
    <mergeCell ref="B64:B84"/>
    <mergeCell ref="C64:D65"/>
    <mergeCell ref="E64:G64"/>
    <mergeCell ref="H64:J64"/>
    <mergeCell ref="K64:M64"/>
    <mergeCell ref="C83:C84"/>
    <mergeCell ref="E37:G37"/>
    <mergeCell ref="H37:J37"/>
    <mergeCell ref="K37:M37"/>
    <mergeCell ref="N37:P37"/>
    <mergeCell ref="Q37:Q38"/>
    <mergeCell ref="B37:B61"/>
    <mergeCell ref="C37:D38"/>
    <mergeCell ref="C39:C45"/>
    <mergeCell ref="C46:C53"/>
    <mergeCell ref="C54:C57"/>
    <mergeCell ref="C58:C61"/>
    <mergeCell ref="B18:B24"/>
    <mergeCell ref="C18:D18"/>
    <mergeCell ref="C19:D19"/>
    <mergeCell ref="C20:D20"/>
    <mergeCell ref="B27:B33"/>
    <mergeCell ref="C27:D27"/>
    <mergeCell ref="C28:D28"/>
    <mergeCell ref="C29:D29"/>
    <mergeCell ref="C2:D2"/>
    <mergeCell ref="C3:D3"/>
    <mergeCell ref="B2:B8"/>
    <mergeCell ref="C4:D4"/>
    <mergeCell ref="B10:B16"/>
    <mergeCell ref="C10:D10"/>
    <mergeCell ref="C11:D11"/>
    <mergeCell ref="C12:D12"/>
  </mergeCells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CED4-556E-420F-BFA5-D9F6D45397B2}">
  <sheetPr filterMode="1">
    <tabColor theme="9" tint="0.79998168889431442"/>
  </sheetPr>
  <dimension ref="A1:U135"/>
  <sheetViews>
    <sheetView topLeftCell="B1" zoomScaleNormal="100" workbookViewId="0">
      <pane xSplit="2" ySplit="14" topLeftCell="D84" activePane="bottomRight" state="frozen"/>
      <selection activeCell="B1" sqref="B1"/>
      <selection pane="topRight" activeCell="D1" sqref="D1"/>
      <selection pane="bottomLeft" activeCell="B15" sqref="B15"/>
      <selection pane="bottomRight" activeCell="E98" sqref="E98"/>
    </sheetView>
  </sheetViews>
  <sheetFormatPr defaultColWidth="12.625" defaultRowHeight="13.5" customHeight="1"/>
  <cols>
    <col min="1" max="1" width="2.875" style="1" customWidth="1"/>
    <col min="2" max="2" width="12.625" style="1" customWidth="1"/>
    <col min="3" max="3" width="27.75" style="1" customWidth="1"/>
    <col min="4" max="4" width="12.625" style="1" customWidth="1"/>
    <col min="5" max="5" width="12.625" style="5" customWidth="1"/>
    <col min="6" max="6" width="12.625" style="1" customWidth="1"/>
    <col min="7" max="9" width="12.625" style="5" customWidth="1"/>
    <col min="10" max="16" width="12.625" style="1" customWidth="1"/>
    <col min="17" max="17" width="12.875" style="1" bestFit="1" customWidth="1"/>
    <col min="18" max="16384" width="12.625" style="1"/>
  </cols>
  <sheetData>
    <row r="1" spans="1:21" ht="13.5" customHeight="1">
      <c r="B1" s="346" t="s">
        <v>2519</v>
      </c>
      <c r="P1" s="10"/>
      <c r="Q1" s="10"/>
      <c r="R1" s="10"/>
      <c r="S1" s="10"/>
      <c r="T1" s="10"/>
    </row>
    <row r="2" spans="1:21" ht="13.5" customHeight="1">
      <c r="B2" s="521" t="s">
        <v>1578</v>
      </c>
      <c r="C2" s="521"/>
      <c r="D2" s="450" t="s">
        <v>3</v>
      </c>
      <c r="E2" s="355" t="s">
        <v>4</v>
      </c>
      <c r="F2" s="450" t="s">
        <v>5</v>
      </c>
      <c r="G2" s="355" t="s">
        <v>6</v>
      </c>
      <c r="H2" s="355" t="s">
        <v>7</v>
      </c>
      <c r="I2" s="355" t="s">
        <v>8</v>
      </c>
      <c r="J2" s="450" t="s">
        <v>9</v>
      </c>
      <c r="K2" s="450" t="s">
        <v>10</v>
      </c>
      <c r="L2" s="450" t="s">
        <v>11</v>
      </c>
      <c r="M2" s="450" t="s">
        <v>12</v>
      </c>
      <c r="N2" s="450" t="s">
        <v>15</v>
      </c>
      <c r="O2" s="450" t="s">
        <v>16</v>
      </c>
      <c r="P2" s="454" t="s">
        <v>2</v>
      </c>
      <c r="Q2" s="457" t="s">
        <v>53</v>
      </c>
      <c r="R2" s="457" t="s">
        <v>25</v>
      </c>
      <c r="S2" s="457" t="s">
        <v>28</v>
      </c>
      <c r="T2" s="457" t="s">
        <v>76</v>
      </c>
      <c r="U2" s="9"/>
    </row>
    <row r="3" spans="1:21" ht="13.5" customHeight="1">
      <c r="B3" s="522" t="s">
        <v>1848</v>
      </c>
      <c r="C3" s="450" t="s">
        <v>67</v>
      </c>
      <c r="D3" s="461">
        <v>1000000000</v>
      </c>
      <c r="E3" s="461">
        <v>200000000</v>
      </c>
      <c r="F3" s="461">
        <v>200000000</v>
      </c>
      <c r="G3" s="461">
        <v>200000000</v>
      </c>
      <c r="H3" s="461">
        <v>200000000</v>
      </c>
      <c r="I3" s="461">
        <v>300000000</v>
      </c>
      <c r="J3" s="461">
        <v>200000000</v>
      </c>
      <c r="K3" s="461">
        <v>200000000</v>
      </c>
      <c r="L3" s="461">
        <v>300000000</v>
      </c>
      <c r="M3" s="461">
        <v>200000000</v>
      </c>
      <c r="N3" s="461">
        <v>200000000</v>
      </c>
      <c r="O3" s="461">
        <v>100000000</v>
      </c>
      <c r="P3" s="462">
        <v>3300000000</v>
      </c>
      <c r="Q3" s="463">
        <f>SUM(D3:F3)</f>
        <v>1400000000</v>
      </c>
      <c r="R3" s="463">
        <f>SUM(G3:I3)</f>
        <v>700000000</v>
      </c>
      <c r="S3" s="463">
        <f>SUM(J3:L3)</f>
        <v>700000000</v>
      </c>
      <c r="T3" s="463">
        <f>SUM(M3:O3)</f>
        <v>500000000</v>
      </c>
      <c r="U3" s="9"/>
    </row>
    <row r="4" spans="1:21" ht="13.5" customHeight="1">
      <c r="B4" s="523"/>
      <c r="C4" s="450" t="s">
        <v>68</v>
      </c>
      <c r="D4" s="464">
        <f>SUM(H15:H56)</f>
        <v>1231000000</v>
      </c>
      <c r="E4" s="464">
        <f>SUM(H57:H80)</f>
        <v>96420000</v>
      </c>
      <c r="F4" s="464">
        <f>SUM(H81:H95)</f>
        <v>292360000</v>
      </c>
      <c r="G4" s="464">
        <f>SUM(H96:H123)</f>
        <v>182749300</v>
      </c>
      <c r="H4" s="464">
        <f>SUM(H124:H131)</f>
        <v>42000000</v>
      </c>
      <c r="I4" s="464"/>
      <c r="J4" s="464"/>
      <c r="K4" s="464"/>
      <c r="L4" s="464"/>
      <c r="M4" s="464"/>
      <c r="N4" s="464"/>
      <c r="O4" s="464"/>
      <c r="P4" s="465">
        <f>SUM(D4:O4)</f>
        <v>1844529300</v>
      </c>
      <c r="Q4" s="463">
        <f>SUM(D4:F4)</f>
        <v>1619780000</v>
      </c>
      <c r="R4" s="463">
        <f>SUM(G4:I4)</f>
        <v>224749300</v>
      </c>
      <c r="S4" s="463"/>
      <c r="T4" s="463"/>
      <c r="U4" s="9"/>
    </row>
    <row r="5" spans="1:21" ht="13.5" customHeight="1">
      <c r="B5" s="523"/>
      <c r="C5" s="450" t="s">
        <v>69</v>
      </c>
      <c r="D5" s="403">
        <f>D4/D3</f>
        <v>1.2310000000000001</v>
      </c>
      <c r="E5" s="403">
        <f t="shared" ref="E5:P5" si="0">E4/E3</f>
        <v>0.48209999999999997</v>
      </c>
      <c r="F5" s="403">
        <f t="shared" si="0"/>
        <v>1.4618</v>
      </c>
      <c r="G5" s="403">
        <f t="shared" si="0"/>
        <v>0.91374650000000002</v>
      </c>
      <c r="H5" s="403">
        <f t="shared" si="0"/>
        <v>0.21</v>
      </c>
      <c r="I5" s="403">
        <f t="shared" si="0"/>
        <v>0</v>
      </c>
      <c r="J5" s="403">
        <f t="shared" si="0"/>
        <v>0</v>
      </c>
      <c r="K5" s="403">
        <f t="shared" si="0"/>
        <v>0</v>
      </c>
      <c r="L5" s="403">
        <f t="shared" si="0"/>
        <v>0</v>
      </c>
      <c r="M5" s="403">
        <f t="shared" si="0"/>
        <v>0</v>
      </c>
      <c r="N5" s="403">
        <f t="shared" si="0"/>
        <v>0</v>
      </c>
      <c r="O5" s="403">
        <f t="shared" si="0"/>
        <v>0</v>
      </c>
      <c r="P5" s="455">
        <f t="shared" si="0"/>
        <v>0.55894827272727277</v>
      </c>
      <c r="Q5" s="458">
        <f>Q4/Q3</f>
        <v>1.1569857142857143</v>
      </c>
      <c r="R5" s="458">
        <f>R4/R3</f>
        <v>0.32107042857142859</v>
      </c>
      <c r="S5" s="457"/>
      <c r="T5" s="457"/>
      <c r="U5" s="9"/>
    </row>
    <row r="6" spans="1:21" ht="13.5" hidden="1" customHeight="1">
      <c r="B6" s="523"/>
      <c r="C6" s="344" t="s">
        <v>1849</v>
      </c>
      <c r="D6" s="345" t="s">
        <v>100</v>
      </c>
      <c r="E6" s="345" t="s">
        <v>1850</v>
      </c>
      <c r="F6" s="345" t="s">
        <v>36</v>
      </c>
      <c r="G6" s="345" t="s">
        <v>1850</v>
      </c>
      <c r="H6" s="345" t="s">
        <v>1851</v>
      </c>
      <c r="I6" s="345" t="s">
        <v>58</v>
      </c>
      <c r="J6" s="345" t="s">
        <v>1852</v>
      </c>
      <c r="K6" s="345" t="s">
        <v>1852</v>
      </c>
      <c r="L6" s="345" t="s">
        <v>1852</v>
      </c>
      <c r="M6" s="345" t="s">
        <v>1853</v>
      </c>
      <c r="N6" s="345" t="s">
        <v>1854</v>
      </c>
      <c r="O6" s="345" t="s">
        <v>1855</v>
      </c>
      <c r="P6" s="456"/>
      <c r="Q6" s="457"/>
      <c r="R6" s="457"/>
      <c r="S6" s="457"/>
      <c r="T6" s="457"/>
      <c r="U6" s="9"/>
    </row>
    <row r="7" spans="1:21" ht="13.5" hidden="1" customHeight="1">
      <c r="B7" s="524"/>
      <c r="C7" s="344" t="s">
        <v>1856</v>
      </c>
      <c r="D7" s="345" t="s">
        <v>1857</v>
      </c>
      <c r="E7" s="345" t="s">
        <v>1858</v>
      </c>
      <c r="F7" s="345" t="s">
        <v>1859</v>
      </c>
      <c r="G7" s="345" t="s">
        <v>111</v>
      </c>
      <c r="H7" s="345" t="s">
        <v>1509</v>
      </c>
      <c r="I7" s="345" t="s">
        <v>1860</v>
      </c>
      <c r="J7" s="345" t="s">
        <v>906</v>
      </c>
      <c r="K7" s="345" t="s">
        <v>1861</v>
      </c>
      <c r="L7" s="345" t="s">
        <v>1862</v>
      </c>
      <c r="M7" s="345" t="s">
        <v>1658</v>
      </c>
      <c r="N7" s="345" t="s">
        <v>1465</v>
      </c>
      <c r="O7" s="345" t="s">
        <v>1473</v>
      </c>
      <c r="P7" s="456"/>
      <c r="Q7" s="457"/>
      <c r="R7" s="457"/>
      <c r="S7" s="457"/>
      <c r="T7" s="457"/>
      <c r="U7" s="9"/>
    </row>
    <row r="8" spans="1:21" ht="13.5" customHeight="1">
      <c r="B8" s="521" t="s">
        <v>1863</v>
      </c>
      <c r="C8" s="450" t="s">
        <v>67</v>
      </c>
      <c r="D8" s="461">
        <f>D3</f>
        <v>1000000000</v>
      </c>
      <c r="E8" s="461">
        <f>D8+E3</f>
        <v>1200000000</v>
      </c>
      <c r="F8" s="461">
        <f t="shared" ref="F8:O8" si="1">E8+F3</f>
        <v>1400000000</v>
      </c>
      <c r="G8" s="461">
        <f t="shared" si="1"/>
        <v>1600000000</v>
      </c>
      <c r="H8" s="461">
        <f t="shared" si="1"/>
        <v>1800000000</v>
      </c>
      <c r="I8" s="461">
        <f t="shared" si="1"/>
        <v>2100000000</v>
      </c>
      <c r="J8" s="461">
        <f t="shared" si="1"/>
        <v>2300000000</v>
      </c>
      <c r="K8" s="461">
        <f t="shared" si="1"/>
        <v>2500000000</v>
      </c>
      <c r="L8" s="461">
        <f t="shared" si="1"/>
        <v>2800000000</v>
      </c>
      <c r="M8" s="461">
        <f t="shared" si="1"/>
        <v>3000000000</v>
      </c>
      <c r="N8" s="461">
        <f t="shared" si="1"/>
        <v>3200000000</v>
      </c>
      <c r="O8" s="461">
        <f t="shared" si="1"/>
        <v>3300000000</v>
      </c>
      <c r="P8" s="462">
        <f>SUM(D8:O8)</f>
        <v>26200000000</v>
      </c>
      <c r="Q8" s="463">
        <f>SUM(D8:F8)</f>
        <v>3600000000</v>
      </c>
      <c r="R8" s="463">
        <f>SUM(G8:I8)</f>
        <v>5500000000</v>
      </c>
      <c r="S8" s="463">
        <f>SUM(J8:L8)</f>
        <v>7600000000</v>
      </c>
      <c r="T8" s="463">
        <f>SUM(M8:O8)</f>
        <v>9500000000</v>
      </c>
      <c r="U8" s="9"/>
    </row>
    <row r="9" spans="1:21" ht="13.5" customHeight="1">
      <c r="B9" s="521"/>
      <c r="C9" s="337" t="s">
        <v>68</v>
      </c>
      <c r="D9" s="464">
        <f>D4</f>
        <v>1231000000</v>
      </c>
      <c r="E9" s="464">
        <f>D9+E4</f>
        <v>1327420000</v>
      </c>
      <c r="F9" s="464">
        <f>E9+F4</f>
        <v>1619780000</v>
      </c>
      <c r="G9" s="464">
        <f>F9+G4</f>
        <v>1802529300</v>
      </c>
      <c r="H9" s="464">
        <f>G9+H4</f>
        <v>1844529300</v>
      </c>
      <c r="I9" s="464"/>
      <c r="J9" s="464"/>
      <c r="K9" s="464"/>
      <c r="L9" s="464"/>
      <c r="M9" s="464"/>
      <c r="N9" s="464"/>
      <c r="O9" s="464"/>
      <c r="P9" s="465">
        <f>SUM(D9:O9)</f>
        <v>7825258600</v>
      </c>
      <c r="Q9" s="463">
        <f>SUM(D9:F9)</f>
        <v>4178200000</v>
      </c>
      <c r="R9" s="463">
        <f>SUM(G9:I9)</f>
        <v>3647058600</v>
      </c>
      <c r="S9" s="463"/>
      <c r="T9" s="463"/>
      <c r="U9" s="9"/>
    </row>
    <row r="10" spans="1:21" ht="13.5" customHeight="1">
      <c r="B10" s="521"/>
      <c r="C10" s="337" t="s">
        <v>69</v>
      </c>
      <c r="D10" s="404">
        <f>D9/D8</f>
        <v>1.2310000000000001</v>
      </c>
      <c r="E10" s="404">
        <f t="shared" ref="E10:P10" si="2">E9/E8</f>
        <v>1.1061833333333333</v>
      </c>
      <c r="F10" s="404">
        <f t="shared" si="2"/>
        <v>1.1569857142857143</v>
      </c>
      <c r="G10" s="404">
        <f t="shared" si="2"/>
        <v>1.1265808125000001</v>
      </c>
      <c r="H10" s="404">
        <f t="shared" si="2"/>
        <v>1.0247385</v>
      </c>
      <c r="I10" s="404">
        <f t="shared" si="2"/>
        <v>0</v>
      </c>
      <c r="J10" s="404">
        <f t="shared" si="2"/>
        <v>0</v>
      </c>
      <c r="K10" s="404">
        <f t="shared" si="2"/>
        <v>0</v>
      </c>
      <c r="L10" s="404">
        <f t="shared" si="2"/>
        <v>0</v>
      </c>
      <c r="M10" s="404">
        <f t="shared" si="2"/>
        <v>0</v>
      </c>
      <c r="N10" s="404">
        <f t="shared" si="2"/>
        <v>0</v>
      </c>
      <c r="O10" s="404">
        <f t="shared" si="2"/>
        <v>0</v>
      </c>
      <c r="P10" s="455">
        <f t="shared" si="2"/>
        <v>0.29867399236641223</v>
      </c>
      <c r="Q10" s="458">
        <f>Q9/Q8</f>
        <v>1.160611111111111</v>
      </c>
      <c r="R10" s="458">
        <f>R9/R8</f>
        <v>0.66310156363636363</v>
      </c>
      <c r="S10" s="457"/>
      <c r="T10" s="457"/>
      <c r="U10" s="9"/>
    </row>
    <row r="11" spans="1:21" ht="13.5" customHeight="1">
      <c r="B11" s="10"/>
      <c r="C11" s="10"/>
      <c r="D11" s="10"/>
      <c r="E11" s="8"/>
      <c r="F11" s="10"/>
      <c r="G11" s="8"/>
      <c r="H11" s="8"/>
      <c r="I11" s="8"/>
      <c r="J11" s="10"/>
      <c r="K11" s="10"/>
      <c r="L11" s="10"/>
      <c r="M11" s="10"/>
      <c r="N11" s="10"/>
      <c r="O11" s="10"/>
      <c r="P11" s="10"/>
      <c r="Q11" s="11"/>
      <c r="R11" s="11"/>
      <c r="S11" s="11"/>
      <c r="T11" s="11"/>
    </row>
    <row r="12" spans="1:21" ht="13.5" customHeight="1">
      <c r="B12" s="346" t="s">
        <v>2237</v>
      </c>
      <c r="C12" s="10"/>
      <c r="D12" s="10"/>
      <c r="E12" s="8"/>
      <c r="F12" s="10"/>
      <c r="G12" s="8"/>
      <c r="H12" s="8"/>
      <c r="I12" s="8"/>
      <c r="J12" s="10"/>
      <c r="K12" s="10"/>
      <c r="L12" s="10"/>
      <c r="M12" s="10"/>
      <c r="N12" s="10"/>
      <c r="O12" s="10"/>
      <c r="P12" s="10" t="s">
        <v>2524</v>
      </c>
      <c r="Q12" s="10"/>
      <c r="R12" s="10"/>
    </row>
    <row r="13" spans="1:21" ht="13.5" customHeight="1">
      <c r="A13" s="15"/>
      <c r="B13" s="451" t="s">
        <v>675</v>
      </c>
      <c r="C13" s="356" t="s">
        <v>44</v>
      </c>
      <c r="D13" s="451" t="s">
        <v>1877</v>
      </c>
      <c r="E13" s="370" t="s">
        <v>32</v>
      </c>
      <c r="F13" s="451" t="s">
        <v>45</v>
      </c>
      <c r="G13" s="370" t="s">
        <v>1309</v>
      </c>
      <c r="H13" s="370" t="s">
        <v>1874</v>
      </c>
      <c r="I13" s="370" t="s">
        <v>2912</v>
      </c>
      <c r="J13" s="451" t="s">
        <v>1881</v>
      </c>
      <c r="K13" s="451" t="s">
        <v>140</v>
      </c>
      <c r="L13" s="451" t="s">
        <v>20</v>
      </c>
      <c r="M13" s="451" t="s">
        <v>21</v>
      </c>
      <c r="N13" s="451" t="s">
        <v>191</v>
      </c>
      <c r="O13" s="451" t="s">
        <v>1898</v>
      </c>
      <c r="P13" s="525" t="s">
        <v>2924</v>
      </c>
      <c r="Q13" s="525"/>
      <c r="R13" s="525"/>
    </row>
    <row r="14" spans="1:21" ht="13.5" hidden="1" customHeight="1">
      <c r="A14" s="15"/>
      <c r="B14" s="347" t="s">
        <v>31</v>
      </c>
      <c r="C14" s="348">
        <f>COUNTA(C15:C123)</f>
        <v>109</v>
      </c>
      <c r="D14" s="349" t="s">
        <v>81</v>
      </c>
      <c r="E14" s="350">
        <f>SUM(E15:E123)</f>
        <v>9201</v>
      </c>
      <c r="F14" s="350">
        <f>SUM(F15:F116)</f>
        <v>0</v>
      </c>
      <c r="G14" s="350">
        <f>SUM(G15:G123)</f>
        <v>12800000</v>
      </c>
      <c r="H14" s="350">
        <f>SUM(H15:H131)</f>
        <v>1844529300</v>
      </c>
      <c r="I14" s="350">
        <f>SUM(I15:I131)</f>
        <v>22134351600</v>
      </c>
      <c r="J14" s="349" t="s">
        <v>81</v>
      </c>
      <c r="K14" s="351" t="s">
        <v>81</v>
      </c>
      <c r="L14" s="349" t="s">
        <v>81</v>
      </c>
      <c r="M14" s="349" t="s">
        <v>81</v>
      </c>
      <c r="N14" s="349" t="s">
        <v>81</v>
      </c>
      <c r="O14" s="349" t="s">
        <v>81</v>
      </c>
      <c r="P14" s="526"/>
      <c r="Q14" s="527"/>
      <c r="R14" s="528"/>
      <c r="S14" s="9"/>
    </row>
    <row r="15" spans="1:21" ht="13.5" customHeight="1">
      <c r="A15" s="15"/>
      <c r="B15" s="336">
        <v>45659</v>
      </c>
      <c r="C15" s="104" t="s">
        <v>1569</v>
      </c>
      <c r="D15" s="104" t="s">
        <v>1878</v>
      </c>
      <c r="E15" s="19">
        <v>450</v>
      </c>
      <c r="F15" s="104" t="s">
        <v>1879</v>
      </c>
      <c r="G15" s="19"/>
      <c r="H15" s="19">
        <v>190000000</v>
      </c>
      <c r="I15" s="19">
        <f>H15*12</f>
        <v>2280000000</v>
      </c>
      <c r="J15" s="104" t="s">
        <v>141</v>
      </c>
      <c r="K15" s="352" t="s">
        <v>1602</v>
      </c>
      <c r="L15" s="104" t="s">
        <v>1892</v>
      </c>
      <c r="M15" s="104" t="s">
        <v>1873</v>
      </c>
      <c r="N15" s="104" t="s">
        <v>84</v>
      </c>
      <c r="O15" s="104" t="s">
        <v>1901</v>
      </c>
      <c r="P15" s="516" t="s">
        <v>2555</v>
      </c>
      <c r="Q15" s="517"/>
      <c r="R15" s="518"/>
      <c r="S15" s="9"/>
    </row>
    <row r="16" spans="1:21" ht="13.5" customHeight="1">
      <c r="A16" s="15"/>
      <c r="B16" s="372">
        <v>45659</v>
      </c>
      <c r="C16" s="369" t="s">
        <v>1673</v>
      </c>
      <c r="D16" s="369" t="s">
        <v>1887</v>
      </c>
      <c r="E16" s="13">
        <v>500</v>
      </c>
      <c r="F16" s="369" t="s">
        <v>1879</v>
      </c>
      <c r="G16" s="13"/>
      <c r="H16" s="13">
        <v>60000000</v>
      </c>
      <c r="I16" s="19">
        <f t="shared" ref="I16:I79" si="3">H16*12</f>
        <v>720000000</v>
      </c>
      <c r="J16" s="369" t="s">
        <v>141</v>
      </c>
      <c r="K16" s="373" t="s">
        <v>792</v>
      </c>
      <c r="L16" s="369" t="s">
        <v>1900</v>
      </c>
      <c r="M16" s="369" t="s">
        <v>1873</v>
      </c>
      <c r="N16" s="369" t="s">
        <v>84</v>
      </c>
      <c r="O16" s="369" t="s">
        <v>1902</v>
      </c>
      <c r="P16" s="529" t="s">
        <v>2554</v>
      </c>
      <c r="Q16" s="530"/>
      <c r="R16" s="531"/>
      <c r="S16" s="9"/>
    </row>
    <row r="17" spans="1:19" ht="13.5" customHeight="1">
      <c r="A17" s="15"/>
      <c r="B17" s="336">
        <v>45659</v>
      </c>
      <c r="C17" s="104" t="s">
        <v>1910</v>
      </c>
      <c r="D17" s="104" t="s">
        <v>1945</v>
      </c>
      <c r="E17" s="19">
        <v>180</v>
      </c>
      <c r="F17" s="64" t="s">
        <v>1879</v>
      </c>
      <c r="G17" s="19">
        <v>200000</v>
      </c>
      <c r="H17" s="64">
        <v>32000000</v>
      </c>
      <c r="I17" s="19">
        <f t="shared" si="3"/>
        <v>384000000</v>
      </c>
      <c r="J17" s="64" t="s">
        <v>142</v>
      </c>
      <c r="K17" s="353" t="s">
        <v>1911</v>
      </c>
      <c r="L17" s="64" t="s">
        <v>1892</v>
      </c>
      <c r="M17" s="104" t="s">
        <v>1873</v>
      </c>
      <c r="N17" s="104" t="s">
        <v>84</v>
      </c>
      <c r="O17" s="104"/>
      <c r="P17" s="516" t="s">
        <v>2553</v>
      </c>
      <c r="Q17" s="517"/>
      <c r="R17" s="518"/>
      <c r="S17" s="9"/>
    </row>
    <row r="18" spans="1:19" ht="13.5" customHeight="1">
      <c r="A18" s="15"/>
      <c r="B18" s="336">
        <v>45659</v>
      </c>
      <c r="C18" s="104" t="s">
        <v>1875</v>
      </c>
      <c r="D18" s="104" t="s">
        <v>1946</v>
      </c>
      <c r="E18" s="19">
        <v>55</v>
      </c>
      <c r="F18" s="64" t="s">
        <v>1879</v>
      </c>
      <c r="G18" s="19">
        <v>200000</v>
      </c>
      <c r="H18" s="64">
        <v>3000000</v>
      </c>
      <c r="I18" s="19">
        <f t="shared" si="3"/>
        <v>36000000</v>
      </c>
      <c r="J18" s="64" t="s">
        <v>142</v>
      </c>
      <c r="K18" s="353" t="s">
        <v>1876</v>
      </c>
      <c r="L18" s="104" t="s">
        <v>2244</v>
      </c>
      <c r="M18" s="104" t="s">
        <v>1873</v>
      </c>
      <c r="N18" s="104" t="s">
        <v>84</v>
      </c>
      <c r="O18" s="104"/>
      <c r="P18" s="516" t="s">
        <v>2540</v>
      </c>
      <c r="Q18" s="517"/>
      <c r="R18" s="518"/>
      <c r="S18" s="9"/>
    </row>
    <row r="19" spans="1:19" ht="13.5" hidden="1" customHeight="1">
      <c r="A19" s="15"/>
      <c r="B19" s="336">
        <v>45658</v>
      </c>
      <c r="C19" s="104" t="s">
        <v>1882</v>
      </c>
      <c r="D19" s="104" t="s">
        <v>100</v>
      </c>
      <c r="E19" s="19">
        <v>1200</v>
      </c>
      <c r="F19" s="104" t="s">
        <v>1883</v>
      </c>
      <c r="G19" s="19"/>
      <c r="H19" s="19">
        <v>200000000</v>
      </c>
      <c r="I19" s="19">
        <f t="shared" si="3"/>
        <v>2400000000</v>
      </c>
      <c r="J19" s="19" t="s">
        <v>141</v>
      </c>
      <c r="K19" s="352" t="s">
        <v>1884</v>
      </c>
      <c r="L19" s="104" t="s">
        <v>2245</v>
      </c>
      <c r="M19" s="104" t="s">
        <v>79</v>
      </c>
      <c r="N19" s="104" t="s">
        <v>115</v>
      </c>
      <c r="O19" s="104" t="s">
        <v>1885</v>
      </c>
      <c r="P19" s="516" t="s">
        <v>2174</v>
      </c>
      <c r="Q19" s="517"/>
      <c r="R19" s="518"/>
      <c r="S19" s="9"/>
    </row>
    <row r="20" spans="1:19" ht="13.5" hidden="1" customHeight="1">
      <c r="A20" s="15"/>
      <c r="B20" s="336">
        <v>45658</v>
      </c>
      <c r="C20" s="104" t="s">
        <v>2164</v>
      </c>
      <c r="D20" s="104" t="s">
        <v>1949</v>
      </c>
      <c r="E20" s="56" t="s">
        <v>81</v>
      </c>
      <c r="F20" s="104" t="s">
        <v>1895</v>
      </c>
      <c r="G20" s="19"/>
      <c r="H20" s="19">
        <v>100000000</v>
      </c>
      <c r="I20" s="19">
        <f t="shared" si="3"/>
        <v>1200000000</v>
      </c>
      <c r="J20" s="19" t="s">
        <v>141</v>
      </c>
      <c r="K20" s="352" t="s">
        <v>154</v>
      </c>
      <c r="L20" s="104" t="s">
        <v>2145</v>
      </c>
      <c r="M20" s="104" t="s">
        <v>79</v>
      </c>
      <c r="N20" s="104" t="s">
        <v>115</v>
      </c>
      <c r="O20" s="104" t="s">
        <v>1903</v>
      </c>
      <c r="P20" s="516"/>
      <c r="Q20" s="517"/>
      <c r="R20" s="518"/>
      <c r="S20" s="9"/>
    </row>
    <row r="21" spans="1:19" ht="13.5" hidden="1" customHeight="1">
      <c r="A21" s="15"/>
      <c r="B21" s="336">
        <v>45658</v>
      </c>
      <c r="C21" s="354" t="s">
        <v>1896</v>
      </c>
      <c r="D21" s="359" t="s">
        <v>1947</v>
      </c>
      <c r="E21" s="19">
        <v>450</v>
      </c>
      <c r="F21" s="19" t="s">
        <v>1880</v>
      </c>
      <c r="G21" s="19"/>
      <c r="H21" s="19">
        <v>100000000</v>
      </c>
      <c r="I21" s="19">
        <f t="shared" si="3"/>
        <v>1200000000</v>
      </c>
      <c r="J21" s="19" t="s">
        <v>141</v>
      </c>
      <c r="K21" s="357" t="s">
        <v>1897</v>
      </c>
      <c r="L21" s="104" t="s">
        <v>2245</v>
      </c>
      <c r="M21" s="104" t="s">
        <v>79</v>
      </c>
      <c r="N21" s="104" t="s">
        <v>115</v>
      </c>
      <c r="O21" s="104" t="s">
        <v>170</v>
      </c>
      <c r="P21" s="516" t="s">
        <v>2175</v>
      </c>
      <c r="Q21" s="517"/>
      <c r="R21" s="518"/>
      <c r="S21" s="9"/>
    </row>
    <row r="22" spans="1:19" ht="13.5" hidden="1" customHeight="1">
      <c r="A22" s="15"/>
      <c r="B22" s="336">
        <v>45658</v>
      </c>
      <c r="C22" s="104" t="s">
        <v>2165</v>
      </c>
      <c r="D22" s="104" t="s">
        <v>1948</v>
      </c>
      <c r="E22" s="19">
        <v>130</v>
      </c>
      <c r="F22" s="104" t="s">
        <v>1880</v>
      </c>
      <c r="G22" s="19"/>
      <c r="H22" s="19">
        <v>12000000</v>
      </c>
      <c r="I22" s="19">
        <f t="shared" si="3"/>
        <v>144000000</v>
      </c>
      <c r="J22" s="19" t="s">
        <v>141</v>
      </c>
      <c r="K22" s="352" t="s">
        <v>1893</v>
      </c>
      <c r="L22" s="104" t="s">
        <v>1899</v>
      </c>
      <c r="M22" s="104" t="s">
        <v>79</v>
      </c>
      <c r="N22" s="104" t="s">
        <v>115</v>
      </c>
      <c r="O22" s="104" t="s">
        <v>1894</v>
      </c>
      <c r="P22" s="516" t="s">
        <v>2176</v>
      </c>
      <c r="Q22" s="517"/>
      <c r="R22" s="518"/>
      <c r="S22" s="9"/>
    </row>
    <row r="23" spans="1:19" ht="13.5" hidden="1" customHeight="1">
      <c r="A23" s="15"/>
      <c r="B23" s="336">
        <v>45658</v>
      </c>
      <c r="C23" s="104" t="s">
        <v>2168</v>
      </c>
      <c r="D23" s="104" t="s">
        <v>2159</v>
      </c>
      <c r="E23" s="19">
        <v>300</v>
      </c>
      <c r="F23" s="19" t="s">
        <v>1880</v>
      </c>
      <c r="G23" s="19"/>
      <c r="H23" s="19">
        <v>15000000</v>
      </c>
      <c r="I23" s="19">
        <f t="shared" si="3"/>
        <v>180000000</v>
      </c>
      <c r="J23" s="19" t="s">
        <v>141</v>
      </c>
      <c r="K23" s="357" t="s">
        <v>1893</v>
      </c>
      <c r="L23" s="104" t="s">
        <v>1888</v>
      </c>
      <c r="M23" s="104" t="s">
        <v>79</v>
      </c>
      <c r="N23" s="104" t="s">
        <v>115</v>
      </c>
      <c r="O23" s="104" t="s">
        <v>1888</v>
      </c>
      <c r="P23" s="516" t="s">
        <v>2177</v>
      </c>
      <c r="Q23" s="517"/>
      <c r="R23" s="518"/>
      <c r="S23" s="9"/>
    </row>
    <row r="24" spans="1:19" ht="13.5" hidden="1" customHeight="1">
      <c r="A24" s="15"/>
      <c r="B24" s="336">
        <v>45658</v>
      </c>
      <c r="C24" s="104" t="s">
        <v>2166</v>
      </c>
      <c r="D24" s="104" t="s">
        <v>1886</v>
      </c>
      <c r="E24" s="19">
        <v>40</v>
      </c>
      <c r="F24" s="104" t="s">
        <v>1880</v>
      </c>
      <c r="G24" s="19">
        <v>200000</v>
      </c>
      <c r="H24" s="19">
        <v>9000000</v>
      </c>
      <c r="I24" s="19">
        <f t="shared" si="3"/>
        <v>108000000</v>
      </c>
      <c r="J24" s="19" t="s">
        <v>141</v>
      </c>
      <c r="K24" s="352" t="s">
        <v>1307</v>
      </c>
      <c r="L24" s="104" t="s">
        <v>1899</v>
      </c>
      <c r="M24" s="104" t="s">
        <v>79</v>
      </c>
      <c r="N24" s="104" t="s">
        <v>115</v>
      </c>
      <c r="O24" s="104" t="s">
        <v>1888</v>
      </c>
      <c r="P24" s="516" t="s">
        <v>2178</v>
      </c>
      <c r="Q24" s="517"/>
      <c r="R24" s="518"/>
      <c r="S24" s="9"/>
    </row>
    <row r="25" spans="1:19" ht="13.5" hidden="1" customHeight="1">
      <c r="A25" s="15"/>
      <c r="B25" s="336">
        <v>45658</v>
      </c>
      <c r="C25" s="104" t="s">
        <v>2167</v>
      </c>
      <c r="D25" s="104" t="s">
        <v>2160</v>
      </c>
      <c r="E25" s="19">
        <v>300</v>
      </c>
      <c r="F25" s="19" t="s">
        <v>1880</v>
      </c>
      <c r="G25" s="19"/>
      <c r="H25" s="19">
        <v>30000000</v>
      </c>
      <c r="I25" s="19">
        <f t="shared" si="3"/>
        <v>360000000</v>
      </c>
      <c r="J25" s="19" t="s">
        <v>141</v>
      </c>
      <c r="K25" s="357" t="s">
        <v>1920</v>
      </c>
      <c r="L25" s="104" t="s">
        <v>1894</v>
      </c>
      <c r="M25" s="104" t="s">
        <v>79</v>
      </c>
      <c r="N25" s="104" t="s">
        <v>115</v>
      </c>
      <c r="O25" s="104" t="s">
        <v>1894</v>
      </c>
      <c r="P25" s="516" t="s">
        <v>2179</v>
      </c>
      <c r="Q25" s="517"/>
      <c r="R25" s="518"/>
      <c r="S25" s="9"/>
    </row>
    <row r="26" spans="1:19" ht="13.5" hidden="1" customHeight="1">
      <c r="A26" s="15"/>
      <c r="B26" s="336">
        <v>45658</v>
      </c>
      <c r="C26" s="354" t="s">
        <v>2169</v>
      </c>
      <c r="D26" s="104" t="s">
        <v>1950</v>
      </c>
      <c r="E26" s="19">
        <v>56</v>
      </c>
      <c r="F26" s="19" t="s">
        <v>1880</v>
      </c>
      <c r="G26" s="19"/>
      <c r="H26" s="19">
        <v>11000000</v>
      </c>
      <c r="I26" s="19">
        <f t="shared" si="3"/>
        <v>132000000</v>
      </c>
      <c r="J26" s="19" t="s">
        <v>141</v>
      </c>
      <c r="K26" s="357" t="s">
        <v>1921</v>
      </c>
      <c r="L26" s="104" t="s">
        <v>749</v>
      </c>
      <c r="M26" s="104" t="s">
        <v>79</v>
      </c>
      <c r="N26" s="104" t="s">
        <v>115</v>
      </c>
      <c r="O26" s="104" t="s">
        <v>749</v>
      </c>
      <c r="P26" s="516" t="s">
        <v>2173</v>
      </c>
      <c r="Q26" s="517"/>
      <c r="R26" s="518"/>
      <c r="S26" s="9"/>
    </row>
    <row r="27" spans="1:19" ht="13.5" hidden="1" customHeight="1">
      <c r="A27" s="15"/>
      <c r="B27" s="336">
        <v>45658</v>
      </c>
      <c r="C27" s="354" t="s">
        <v>2170</v>
      </c>
      <c r="D27" s="104" t="s">
        <v>1951</v>
      </c>
      <c r="E27" s="19">
        <v>33</v>
      </c>
      <c r="F27" s="19" t="s">
        <v>1880</v>
      </c>
      <c r="G27" s="19"/>
      <c r="H27" s="19">
        <v>7150000</v>
      </c>
      <c r="I27" s="19">
        <f t="shared" si="3"/>
        <v>85800000</v>
      </c>
      <c r="J27" s="19" t="s">
        <v>141</v>
      </c>
      <c r="K27" s="357" t="s">
        <v>1921</v>
      </c>
      <c r="L27" s="104" t="s">
        <v>1888</v>
      </c>
      <c r="M27" s="104" t="s">
        <v>79</v>
      </c>
      <c r="N27" s="104" t="s">
        <v>115</v>
      </c>
      <c r="O27" s="104" t="s">
        <v>1888</v>
      </c>
      <c r="P27" s="516" t="s">
        <v>2173</v>
      </c>
      <c r="Q27" s="517"/>
      <c r="R27" s="518"/>
      <c r="S27" s="9"/>
    </row>
    <row r="28" spans="1:19" ht="13.5" hidden="1" customHeight="1">
      <c r="A28" s="15"/>
      <c r="B28" s="336">
        <v>45658</v>
      </c>
      <c r="C28" s="354" t="s">
        <v>2171</v>
      </c>
      <c r="D28" s="104" t="s">
        <v>2154</v>
      </c>
      <c r="E28" s="19">
        <v>32</v>
      </c>
      <c r="F28" s="19" t="s">
        <v>1880</v>
      </c>
      <c r="G28" s="19"/>
      <c r="H28" s="19">
        <v>6000000</v>
      </c>
      <c r="I28" s="19">
        <f t="shared" si="3"/>
        <v>72000000</v>
      </c>
      <c r="J28" s="19" t="s">
        <v>141</v>
      </c>
      <c r="K28" s="357" t="s">
        <v>1921</v>
      </c>
      <c r="L28" s="104" t="s">
        <v>1894</v>
      </c>
      <c r="M28" s="104" t="s">
        <v>79</v>
      </c>
      <c r="N28" s="104" t="s">
        <v>115</v>
      </c>
      <c r="O28" s="104" t="s">
        <v>1894</v>
      </c>
      <c r="P28" s="516" t="s">
        <v>2173</v>
      </c>
      <c r="Q28" s="517"/>
      <c r="R28" s="518"/>
      <c r="S28" s="9"/>
    </row>
    <row r="29" spans="1:19" ht="13.5" hidden="1" customHeight="1">
      <c r="A29" s="15"/>
      <c r="B29" s="336">
        <v>45658</v>
      </c>
      <c r="C29" s="354" t="s">
        <v>2172</v>
      </c>
      <c r="D29" s="104" t="s">
        <v>1952</v>
      </c>
      <c r="E29" s="19">
        <v>90</v>
      </c>
      <c r="F29" s="19" t="s">
        <v>1880</v>
      </c>
      <c r="G29" s="19"/>
      <c r="H29" s="19">
        <v>20000000</v>
      </c>
      <c r="I29" s="19">
        <f t="shared" si="3"/>
        <v>240000000</v>
      </c>
      <c r="J29" s="19" t="s">
        <v>141</v>
      </c>
      <c r="K29" s="357" t="s">
        <v>1921</v>
      </c>
      <c r="L29" s="104" t="s">
        <v>749</v>
      </c>
      <c r="M29" s="104" t="s">
        <v>79</v>
      </c>
      <c r="N29" s="104" t="s">
        <v>115</v>
      </c>
      <c r="O29" s="104" t="s">
        <v>749</v>
      </c>
      <c r="P29" s="516" t="s">
        <v>2182</v>
      </c>
      <c r="Q29" s="517"/>
      <c r="R29" s="518"/>
      <c r="S29" s="9"/>
    </row>
    <row r="30" spans="1:19" ht="13.5" hidden="1" customHeight="1">
      <c r="A30" s="15"/>
      <c r="B30" s="336">
        <v>45658</v>
      </c>
      <c r="C30" s="354" t="s">
        <v>2180</v>
      </c>
      <c r="D30" s="104" t="s">
        <v>2181</v>
      </c>
      <c r="E30" s="19">
        <v>80</v>
      </c>
      <c r="F30" s="19" t="s">
        <v>1880</v>
      </c>
      <c r="G30" s="19"/>
      <c r="H30" s="19">
        <v>3000000</v>
      </c>
      <c r="I30" s="19">
        <f t="shared" si="3"/>
        <v>36000000</v>
      </c>
      <c r="J30" s="19" t="s">
        <v>141</v>
      </c>
      <c r="K30" s="357" t="s">
        <v>1921</v>
      </c>
      <c r="L30" s="104" t="s">
        <v>749</v>
      </c>
      <c r="M30" s="104" t="s">
        <v>79</v>
      </c>
      <c r="N30" s="104" t="s">
        <v>115</v>
      </c>
      <c r="O30" s="104" t="s">
        <v>749</v>
      </c>
      <c r="P30" s="516" t="s">
        <v>2178</v>
      </c>
      <c r="Q30" s="517"/>
      <c r="R30" s="518"/>
      <c r="S30" s="9"/>
    </row>
    <row r="31" spans="1:19" ht="13.5" hidden="1" customHeight="1">
      <c r="A31" s="15"/>
      <c r="B31" s="336">
        <v>45658</v>
      </c>
      <c r="C31" s="354" t="s">
        <v>1922</v>
      </c>
      <c r="D31" s="104" t="s">
        <v>1953</v>
      </c>
      <c r="E31" s="19">
        <v>47</v>
      </c>
      <c r="F31" s="19" t="s">
        <v>1880</v>
      </c>
      <c r="G31" s="19"/>
      <c r="H31" s="19">
        <v>10000000</v>
      </c>
      <c r="I31" s="19">
        <f t="shared" si="3"/>
        <v>120000000</v>
      </c>
      <c r="J31" s="19" t="s">
        <v>141</v>
      </c>
      <c r="K31" s="357" t="s">
        <v>1921</v>
      </c>
      <c r="L31" s="104" t="s">
        <v>79</v>
      </c>
      <c r="M31" s="104" t="s">
        <v>79</v>
      </c>
      <c r="N31" s="104" t="s">
        <v>115</v>
      </c>
      <c r="O31" s="104" t="s">
        <v>1923</v>
      </c>
      <c r="P31" s="516" t="s">
        <v>2183</v>
      </c>
      <c r="Q31" s="517"/>
      <c r="R31" s="518"/>
      <c r="S31" s="9"/>
    </row>
    <row r="32" spans="1:19" ht="13.5" hidden="1" customHeight="1">
      <c r="A32" s="15"/>
      <c r="B32" s="336">
        <v>45658</v>
      </c>
      <c r="C32" s="354" t="s">
        <v>1924</v>
      </c>
      <c r="D32" s="104" t="s">
        <v>1954</v>
      </c>
      <c r="E32" s="19">
        <v>55</v>
      </c>
      <c r="F32" s="19" t="s">
        <v>1880</v>
      </c>
      <c r="G32" s="19"/>
      <c r="H32" s="19">
        <v>10000000</v>
      </c>
      <c r="I32" s="19">
        <f t="shared" si="3"/>
        <v>120000000</v>
      </c>
      <c r="J32" s="19" t="s">
        <v>141</v>
      </c>
      <c r="K32" s="357" t="s">
        <v>1921</v>
      </c>
      <c r="L32" s="104" t="s">
        <v>79</v>
      </c>
      <c r="M32" s="104" t="s">
        <v>79</v>
      </c>
      <c r="N32" s="104" t="s">
        <v>115</v>
      </c>
      <c r="O32" s="104" t="s">
        <v>1923</v>
      </c>
      <c r="P32" s="516" t="s">
        <v>2183</v>
      </c>
      <c r="Q32" s="517"/>
      <c r="R32" s="518"/>
      <c r="S32" s="9"/>
    </row>
    <row r="33" spans="1:19" ht="13.5" hidden="1" customHeight="1">
      <c r="A33" s="15"/>
      <c r="B33" s="336">
        <v>45658</v>
      </c>
      <c r="C33" s="354" t="s">
        <v>1925</v>
      </c>
      <c r="D33" s="104" t="s">
        <v>1955</v>
      </c>
      <c r="E33" s="19">
        <v>83</v>
      </c>
      <c r="F33" s="19" t="s">
        <v>1880</v>
      </c>
      <c r="G33" s="19"/>
      <c r="H33" s="19">
        <v>20000000</v>
      </c>
      <c r="I33" s="19">
        <f t="shared" si="3"/>
        <v>240000000</v>
      </c>
      <c r="J33" s="19" t="s">
        <v>141</v>
      </c>
      <c r="K33" s="357" t="s">
        <v>1921</v>
      </c>
      <c r="L33" s="104" t="s">
        <v>79</v>
      </c>
      <c r="M33" s="104" t="s">
        <v>79</v>
      </c>
      <c r="N33" s="104" t="s">
        <v>115</v>
      </c>
      <c r="O33" s="104" t="s">
        <v>1923</v>
      </c>
      <c r="P33" s="516" t="s">
        <v>2183</v>
      </c>
      <c r="Q33" s="517"/>
      <c r="R33" s="518"/>
      <c r="S33" s="9"/>
    </row>
    <row r="34" spans="1:19" ht="13.5" hidden="1" customHeight="1">
      <c r="A34" s="15"/>
      <c r="B34" s="336">
        <v>45658</v>
      </c>
      <c r="C34" s="354" t="s">
        <v>1926</v>
      </c>
      <c r="D34" s="104" t="s">
        <v>1956</v>
      </c>
      <c r="E34" s="19">
        <v>290</v>
      </c>
      <c r="F34" s="19" t="s">
        <v>1880</v>
      </c>
      <c r="G34" s="19"/>
      <c r="H34" s="19">
        <v>60000000</v>
      </c>
      <c r="I34" s="19">
        <f t="shared" si="3"/>
        <v>720000000</v>
      </c>
      <c r="J34" s="19" t="s">
        <v>141</v>
      </c>
      <c r="K34" s="357" t="s">
        <v>1921</v>
      </c>
      <c r="L34" s="104" t="s">
        <v>79</v>
      </c>
      <c r="M34" s="104" t="s">
        <v>79</v>
      </c>
      <c r="N34" s="104" t="s">
        <v>115</v>
      </c>
      <c r="O34" s="104" t="s">
        <v>1923</v>
      </c>
      <c r="P34" s="516" t="s">
        <v>2183</v>
      </c>
      <c r="Q34" s="517"/>
      <c r="R34" s="518"/>
      <c r="S34" s="9"/>
    </row>
    <row r="35" spans="1:19" ht="13.5" hidden="1" customHeight="1">
      <c r="A35" s="15"/>
      <c r="B35" s="336">
        <v>45658</v>
      </c>
      <c r="C35" s="354" t="s">
        <v>1927</v>
      </c>
      <c r="D35" s="104" t="s">
        <v>1957</v>
      </c>
      <c r="E35" s="19">
        <v>38</v>
      </c>
      <c r="F35" s="19" t="s">
        <v>1880</v>
      </c>
      <c r="G35" s="19"/>
      <c r="H35" s="19">
        <v>10000000</v>
      </c>
      <c r="I35" s="19">
        <f t="shared" si="3"/>
        <v>120000000</v>
      </c>
      <c r="J35" s="19" t="s">
        <v>141</v>
      </c>
      <c r="K35" s="357" t="s">
        <v>1921</v>
      </c>
      <c r="L35" s="104" t="s">
        <v>79</v>
      </c>
      <c r="M35" s="104" t="s">
        <v>79</v>
      </c>
      <c r="N35" s="104" t="s">
        <v>115</v>
      </c>
      <c r="O35" s="104" t="s">
        <v>1923</v>
      </c>
      <c r="P35" s="516" t="s">
        <v>2183</v>
      </c>
      <c r="Q35" s="517"/>
      <c r="R35" s="518"/>
      <c r="S35" s="9"/>
    </row>
    <row r="36" spans="1:19" ht="13.5" hidden="1" customHeight="1">
      <c r="A36" s="15"/>
      <c r="B36" s="336">
        <v>45658</v>
      </c>
      <c r="C36" s="354" t="s">
        <v>1928</v>
      </c>
      <c r="D36" s="104" t="s">
        <v>1958</v>
      </c>
      <c r="E36" s="19">
        <v>85</v>
      </c>
      <c r="F36" s="19" t="s">
        <v>1880</v>
      </c>
      <c r="G36" s="19"/>
      <c r="H36" s="19">
        <v>20000000</v>
      </c>
      <c r="I36" s="19">
        <f t="shared" si="3"/>
        <v>240000000</v>
      </c>
      <c r="J36" s="19" t="s">
        <v>141</v>
      </c>
      <c r="K36" s="357" t="s">
        <v>1921</v>
      </c>
      <c r="L36" s="104" t="s">
        <v>79</v>
      </c>
      <c r="M36" s="104" t="s">
        <v>79</v>
      </c>
      <c r="N36" s="104" t="s">
        <v>115</v>
      </c>
      <c r="O36" s="104" t="s">
        <v>1923</v>
      </c>
      <c r="P36" s="516" t="s">
        <v>2183</v>
      </c>
      <c r="Q36" s="517"/>
      <c r="R36" s="518"/>
      <c r="S36" s="9"/>
    </row>
    <row r="37" spans="1:19" ht="13.5" hidden="1" customHeight="1">
      <c r="A37" s="15"/>
      <c r="B37" s="336">
        <v>45658</v>
      </c>
      <c r="C37" s="354" t="s">
        <v>2148</v>
      </c>
      <c r="D37" s="104" t="s">
        <v>2149</v>
      </c>
      <c r="E37" s="19">
        <v>50</v>
      </c>
      <c r="F37" s="19" t="s">
        <v>1880</v>
      </c>
      <c r="G37" s="19"/>
      <c r="H37" s="19">
        <v>5000000</v>
      </c>
      <c r="I37" s="19">
        <f t="shared" si="3"/>
        <v>60000000</v>
      </c>
      <c r="J37" s="19" t="s">
        <v>141</v>
      </c>
      <c r="K37" s="357" t="s">
        <v>1921</v>
      </c>
      <c r="L37" s="104" t="s">
        <v>79</v>
      </c>
      <c r="M37" s="104" t="s">
        <v>79</v>
      </c>
      <c r="N37" s="104" t="s">
        <v>115</v>
      </c>
      <c r="O37" s="104" t="s">
        <v>1923</v>
      </c>
      <c r="P37" s="516" t="s">
        <v>2178</v>
      </c>
      <c r="Q37" s="517"/>
      <c r="R37" s="518"/>
      <c r="S37" s="9"/>
    </row>
    <row r="38" spans="1:19" ht="13.5" hidden="1" customHeight="1">
      <c r="A38" s="15"/>
      <c r="B38" s="336">
        <v>45658</v>
      </c>
      <c r="C38" s="354" t="s">
        <v>2161</v>
      </c>
      <c r="D38" s="104" t="s">
        <v>1889</v>
      </c>
      <c r="E38" s="19">
        <v>330</v>
      </c>
      <c r="F38" s="104" t="s">
        <v>1880</v>
      </c>
      <c r="G38" s="19"/>
      <c r="H38" s="19">
        <v>100000000</v>
      </c>
      <c r="I38" s="19">
        <f t="shared" si="3"/>
        <v>1200000000</v>
      </c>
      <c r="J38" s="19" t="s">
        <v>141</v>
      </c>
      <c r="K38" s="352" t="s">
        <v>1890</v>
      </c>
      <c r="L38" s="104" t="s">
        <v>79</v>
      </c>
      <c r="M38" s="104" t="s">
        <v>79</v>
      </c>
      <c r="N38" s="104" t="s">
        <v>115</v>
      </c>
      <c r="O38" s="104" t="s">
        <v>170</v>
      </c>
      <c r="P38" s="516" t="s">
        <v>2176</v>
      </c>
      <c r="Q38" s="517"/>
      <c r="R38" s="518"/>
      <c r="S38" s="9"/>
    </row>
    <row r="39" spans="1:19" ht="13.5" hidden="1" customHeight="1">
      <c r="A39" s="15"/>
      <c r="B39" s="336">
        <v>45658</v>
      </c>
      <c r="C39" s="354" t="s">
        <v>2162</v>
      </c>
      <c r="D39" s="104" t="s">
        <v>2152</v>
      </c>
      <c r="E39" s="19">
        <v>280</v>
      </c>
      <c r="F39" s="19" t="s">
        <v>1880</v>
      </c>
      <c r="G39" s="19"/>
      <c r="H39" s="19">
        <v>60000000</v>
      </c>
      <c r="I39" s="19">
        <f t="shared" si="3"/>
        <v>720000000</v>
      </c>
      <c r="J39" s="19" t="s">
        <v>141</v>
      </c>
      <c r="K39" s="357" t="s">
        <v>1921</v>
      </c>
      <c r="L39" s="104" t="s">
        <v>79</v>
      </c>
      <c r="M39" s="104" t="s">
        <v>79</v>
      </c>
      <c r="N39" s="104" t="s">
        <v>115</v>
      </c>
      <c r="O39" s="104" t="s">
        <v>1923</v>
      </c>
      <c r="P39" s="516" t="s">
        <v>2176</v>
      </c>
      <c r="Q39" s="517"/>
      <c r="R39" s="518"/>
      <c r="S39" s="9"/>
    </row>
    <row r="40" spans="1:19" ht="13.5" hidden="1" customHeight="1">
      <c r="A40" s="15"/>
      <c r="B40" s="336">
        <v>45658</v>
      </c>
      <c r="C40" s="354" t="s">
        <v>2163</v>
      </c>
      <c r="D40" s="104" t="s">
        <v>2153</v>
      </c>
      <c r="E40" s="19">
        <v>80</v>
      </c>
      <c r="F40" s="19" t="s">
        <v>1880</v>
      </c>
      <c r="G40" s="19"/>
      <c r="H40" s="19">
        <v>20000000</v>
      </c>
      <c r="I40" s="19">
        <f t="shared" si="3"/>
        <v>240000000</v>
      </c>
      <c r="J40" s="19" t="s">
        <v>141</v>
      </c>
      <c r="K40" s="357" t="s">
        <v>1921</v>
      </c>
      <c r="L40" s="104" t="s">
        <v>79</v>
      </c>
      <c r="M40" s="104" t="s">
        <v>79</v>
      </c>
      <c r="N40" s="104" t="s">
        <v>115</v>
      </c>
      <c r="O40" s="104" t="s">
        <v>1923</v>
      </c>
      <c r="P40" s="516" t="s">
        <v>2176</v>
      </c>
      <c r="Q40" s="517"/>
      <c r="R40" s="518"/>
      <c r="S40" s="9"/>
    </row>
    <row r="41" spans="1:19" ht="13.5" hidden="1" customHeight="1">
      <c r="A41" s="15"/>
      <c r="B41" s="336">
        <v>45658</v>
      </c>
      <c r="C41" s="354" t="s">
        <v>2150</v>
      </c>
      <c r="D41" s="104" t="s">
        <v>2151</v>
      </c>
      <c r="E41" s="19">
        <v>27</v>
      </c>
      <c r="F41" s="19" t="s">
        <v>1883</v>
      </c>
      <c r="G41" s="19"/>
      <c r="H41" s="19">
        <v>5000000</v>
      </c>
      <c r="I41" s="19">
        <f t="shared" si="3"/>
        <v>60000000</v>
      </c>
      <c r="J41" s="19" t="s">
        <v>141</v>
      </c>
      <c r="K41" s="357" t="s">
        <v>1921</v>
      </c>
      <c r="L41" s="104" t="s">
        <v>79</v>
      </c>
      <c r="M41" s="104" t="s">
        <v>79</v>
      </c>
      <c r="N41" s="104" t="s">
        <v>115</v>
      </c>
      <c r="O41" s="104" t="s">
        <v>1923</v>
      </c>
      <c r="P41" s="516" t="s">
        <v>2178</v>
      </c>
      <c r="Q41" s="517"/>
      <c r="R41" s="518"/>
      <c r="S41" s="9"/>
    </row>
    <row r="42" spans="1:19" ht="13.5" hidden="1" customHeight="1">
      <c r="A42" s="15"/>
      <c r="B42" s="336">
        <v>45658</v>
      </c>
      <c r="C42" s="104" t="s">
        <v>2155</v>
      </c>
      <c r="D42" s="104" t="s">
        <v>2157</v>
      </c>
      <c r="E42" s="19">
        <v>50</v>
      </c>
      <c r="F42" s="19" t="s">
        <v>1880</v>
      </c>
      <c r="G42" s="19">
        <v>200000</v>
      </c>
      <c r="H42" s="19">
        <v>8000000</v>
      </c>
      <c r="I42" s="19">
        <f t="shared" si="3"/>
        <v>96000000</v>
      </c>
      <c r="J42" s="19" t="s">
        <v>141</v>
      </c>
      <c r="K42" s="357" t="s">
        <v>1921</v>
      </c>
      <c r="L42" s="104" t="s">
        <v>79</v>
      </c>
      <c r="M42" s="104" t="s">
        <v>79</v>
      </c>
      <c r="N42" s="104" t="s">
        <v>115</v>
      </c>
      <c r="O42" s="104" t="s">
        <v>1923</v>
      </c>
      <c r="P42" s="516" t="s">
        <v>2178</v>
      </c>
      <c r="Q42" s="517"/>
      <c r="R42" s="518"/>
      <c r="S42" s="9"/>
    </row>
    <row r="43" spans="1:19" ht="13.5" hidden="1" customHeight="1">
      <c r="A43" s="15"/>
      <c r="B43" s="336">
        <v>45658</v>
      </c>
      <c r="C43" s="104" t="s">
        <v>2156</v>
      </c>
      <c r="D43" s="104" t="s">
        <v>2158</v>
      </c>
      <c r="E43" s="19">
        <v>14</v>
      </c>
      <c r="F43" s="19" t="s">
        <v>1880</v>
      </c>
      <c r="G43" s="19">
        <v>200000</v>
      </c>
      <c r="H43" s="19">
        <v>2000000</v>
      </c>
      <c r="I43" s="19">
        <f t="shared" si="3"/>
        <v>24000000</v>
      </c>
      <c r="J43" s="19" t="s">
        <v>141</v>
      </c>
      <c r="K43" s="357" t="s">
        <v>1921</v>
      </c>
      <c r="L43" s="104" t="s">
        <v>79</v>
      </c>
      <c r="M43" s="104" t="s">
        <v>79</v>
      </c>
      <c r="N43" s="104" t="s">
        <v>115</v>
      </c>
      <c r="O43" s="104" t="s">
        <v>1923</v>
      </c>
      <c r="P43" s="516" t="s">
        <v>2184</v>
      </c>
      <c r="Q43" s="517"/>
      <c r="R43" s="518"/>
      <c r="S43" s="9"/>
    </row>
    <row r="44" spans="1:19" ht="13.5" customHeight="1">
      <c r="A44" s="15"/>
      <c r="B44" s="336">
        <v>45659</v>
      </c>
      <c r="C44" s="369" t="s">
        <v>780</v>
      </c>
      <c r="D44" s="104" t="s">
        <v>1929</v>
      </c>
      <c r="E44" s="19">
        <v>500</v>
      </c>
      <c r="F44" s="19" t="s">
        <v>1879</v>
      </c>
      <c r="G44" s="19"/>
      <c r="H44" s="19">
        <v>68750000</v>
      </c>
      <c r="I44" s="19">
        <f t="shared" si="3"/>
        <v>825000000</v>
      </c>
      <c r="J44" s="19" t="s">
        <v>142</v>
      </c>
      <c r="K44" s="357" t="s">
        <v>1930</v>
      </c>
      <c r="L44" s="104" t="s">
        <v>1931</v>
      </c>
      <c r="M44" s="104" t="s">
        <v>1873</v>
      </c>
      <c r="N44" s="104" t="s">
        <v>84</v>
      </c>
      <c r="O44" s="104" t="s">
        <v>1944</v>
      </c>
      <c r="P44" s="516" t="s">
        <v>2552</v>
      </c>
      <c r="Q44" s="517"/>
      <c r="R44" s="518"/>
      <c r="S44" s="9"/>
    </row>
    <row r="45" spans="1:19" ht="13.5" customHeight="1">
      <c r="A45" s="15"/>
      <c r="B45" s="336">
        <v>45659</v>
      </c>
      <c r="C45" s="369" t="s">
        <v>1157</v>
      </c>
      <c r="D45" s="104" t="s">
        <v>1932</v>
      </c>
      <c r="E45" s="19">
        <v>5</v>
      </c>
      <c r="F45" s="19" t="s">
        <v>1879</v>
      </c>
      <c r="G45" s="19">
        <v>200000</v>
      </c>
      <c r="H45" s="19">
        <v>1500000</v>
      </c>
      <c r="I45" s="19">
        <f t="shared" si="3"/>
        <v>18000000</v>
      </c>
      <c r="J45" s="19" t="s">
        <v>142</v>
      </c>
      <c r="K45" s="357" t="s">
        <v>1933</v>
      </c>
      <c r="L45" s="104" t="s">
        <v>1934</v>
      </c>
      <c r="M45" s="104" t="s">
        <v>1873</v>
      </c>
      <c r="N45" s="104" t="s">
        <v>84</v>
      </c>
      <c r="O45" s="104"/>
      <c r="P45" s="516" t="s">
        <v>2551</v>
      </c>
      <c r="Q45" s="517"/>
      <c r="R45" s="518"/>
      <c r="S45" s="9"/>
    </row>
    <row r="46" spans="1:19" ht="13.5" customHeight="1">
      <c r="A46" s="15"/>
      <c r="B46" s="336">
        <v>45659</v>
      </c>
      <c r="C46" s="369" t="s">
        <v>1935</v>
      </c>
      <c r="D46" s="104" t="s">
        <v>1936</v>
      </c>
      <c r="E46" s="19">
        <v>50</v>
      </c>
      <c r="F46" s="19" t="s">
        <v>1879</v>
      </c>
      <c r="G46" s="19">
        <v>200000</v>
      </c>
      <c r="H46" s="19">
        <v>2500000</v>
      </c>
      <c r="I46" s="19">
        <f t="shared" si="3"/>
        <v>30000000</v>
      </c>
      <c r="J46" s="19" t="s">
        <v>141</v>
      </c>
      <c r="K46" s="357" t="s">
        <v>1937</v>
      </c>
      <c r="L46" s="104" t="s">
        <v>1938</v>
      </c>
      <c r="M46" s="104" t="s">
        <v>1873</v>
      </c>
      <c r="N46" s="104" t="s">
        <v>84</v>
      </c>
      <c r="O46" s="104" t="s">
        <v>1939</v>
      </c>
      <c r="P46" s="516" t="s">
        <v>2550</v>
      </c>
      <c r="Q46" s="517"/>
      <c r="R46" s="518"/>
      <c r="S46" s="9"/>
    </row>
    <row r="47" spans="1:19" ht="13.5" customHeight="1">
      <c r="A47" s="15"/>
      <c r="B47" s="336">
        <v>45659</v>
      </c>
      <c r="C47" s="369" t="s">
        <v>1800</v>
      </c>
      <c r="D47" s="104" t="s">
        <v>2136</v>
      </c>
      <c r="E47" s="19">
        <v>25</v>
      </c>
      <c r="F47" s="19" t="s">
        <v>1879</v>
      </c>
      <c r="G47" s="19">
        <v>200000</v>
      </c>
      <c r="H47" s="19">
        <v>2500000</v>
      </c>
      <c r="I47" s="19">
        <f t="shared" si="3"/>
        <v>30000000</v>
      </c>
      <c r="J47" s="19" t="s">
        <v>142</v>
      </c>
      <c r="K47" s="357" t="s">
        <v>1876</v>
      </c>
      <c r="L47" s="104" t="s">
        <v>1940</v>
      </c>
      <c r="M47" s="104" t="s">
        <v>1873</v>
      </c>
      <c r="N47" s="104" t="s">
        <v>84</v>
      </c>
      <c r="O47" s="104"/>
      <c r="P47" s="516" t="s">
        <v>2549</v>
      </c>
      <c r="Q47" s="517"/>
      <c r="R47" s="518"/>
      <c r="S47" s="9"/>
    </row>
    <row r="48" spans="1:19" ht="13.5" customHeight="1">
      <c r="A48" s="15"/>
      <c r="B48" s="336">
        <v>45659</v>
      </c>
      <c r="C48" s="369" t="s">
        <v>1941</v>
      </c>
      <c r="D48" s="104" t="s">
        <v>2185</v>
      </c>
      <c r="E48" s="19">
        <v>10</v>
      </c>
      <c r="F48" s="19" t="s">
        <v>1879</v>
      </c>
      <c r="G48" s="19">
        <v>200000</v>
      </c>
      <c r="H48" s="19">
        <v>2000000</v>
      </c>
      <c r="I48" s="19">
        <f t="shared" si="3"/>
        <v>24000000</v>
      </c>
      <c r="J48" s="19" t="s">
        <v>142</v>
      </c>
      <c r="K48" s="357" t="s">
        <v>1726</v>
      </c>
      <c r="L48" s="104" t="s">
        <v>1942</v>
      </c>
      <c r="M48" s="104" t="s">
        <v>1873</v>
      </c>
      <c r="N48" s="104" t="s">
        <v>84</v>
      </c>
      <c r="O48" s="104"/>
      <c r="P48" s="516" t="s">
        <v>2546</v>
      </c>
      <c r="Q48" s="517"/>
      <c r="R48" s="518"/>
      <c r="S48" s="9"/>
    </row>
    <row r="49" spans="1:19" ht="13.5" customHeight="1">
      <c r="A49" s="15"/>
      <c r="B49" s="372">
        <v>45659</v>
      </c>
      <c r="C49" s="369" t="s">
        <v>1026</v>
      </c>
      <c r="D49" s="369" t="s">
        <v>2137</v>
      </c>
      <c r="E49" s="13">
        <v>75</v>
      </c>
      <c r="F49" s="13" t="s">
        <v>1879</v>
      </c>
      <c r="G49" s="13"/>
      <c r="H49" s="13">
        <v>8400000</v>
      </c>
      <c r="I49" s="19">
        <f t="shared" si="3"/>
        <v>100800000</v>
      </c>
      <c r="J49" s="13" t="s">
        <v>142</v>
      </c>
      <c r="K49" s="374" t="s">
        <v>782</v>
      </c>
      <c r="L49" s="369" t="s">
        <v>1892</v>
      </c>
      <c r="M49" s="369" t="s">
        <v>1873</v>
      </c>
      <c r="N49" s="369" t="s">
        <v>84</v>
      </c>
      <c r="O49" s="369" t="s">
        <v>1901</v>
      </c>
      <c r="P49" s="516" t="s">
        <v>2548</v>
      </c>
      <c r="Q49" s="517"/>
      <c r="R49" s="518"/>
      <c r="S49" s="9"/>
    </row>
    <row r="50" spans="1:19" ht="13.5" customHeight="1">
      <c r="A50" s="15"/>
      <c r="B50" s="372">
        <v>45659</v>
      </c>
      <c r="C50" s="369" t="s">
        <v>2107</v>
      </c>
      <c r="D50" s="369" t="s">
        <v>2146</v>
      </c>
      <c r="E50" s="13">
        <v>11</v>
      </c>
      <c r="F50" s="13" t="s">
        <v>1879</v>
      </c>
      <c r="G50" s="13">
        <v>200000</v>
      </c>
      <c r="H50" s="13">
        <v>1000000</v>
      </c>
      <c r="I50" s="19">
        <f t="shared" si="3"/>
        <v>12000000</v>
      </c>
      <c r="J50" s="13" t="s">
        <v>142</v>
      </c>
      <c r="K50" s="374" t="s">
        <v>2140</v>
      </c>
      <c r="L50" s="369" t="s">
        <v>2141</v>
      </c>
      <c r="M50" s="369" t="s">
        <v>1873</v>
      </c>
      <c r="N50" s="369" t="s">
        <v>84</v>
      </c>
      <c r="O50" s="369"/>
      <c r="P50" s="516" t="s">
        <v>2547</v>
      </c>
      <c r="Q50" s="517"/>
      <c r="R50" s="518"/>
      <c r="S50" s="9"/>
    </row>
    <row r="51" spans="1:19" ht="13.5" customHeight="1">
      <c r="A51" s="15"/>
      <c r="B51" s="372">
        <v>45659</v>
      </c>
      <c r="C51" s="369" t="s">
        <v>2119</v>
      </c>
      <c r="D51" s="369" t="s">
        <v>2142</v>
      </c>
      <c r="E51" s="13">
        <v>4</v>
      </c>
      <c r="F51" s="13" t="s">
        <v>1879</v>
      </c>
      <c r="G51" s="13">
        <v>200000</v>
      </c>
      <c r="H51" s="13">
        <v>800000</v>
      </c>
      <c r="I51" s="19">
        <f t="shared" si="3"/>
        <v>9600000</v>
      </c>
      <c r="J51" s="13" t="s">
        <v>142</v>
      </c>
      <c r="K51" s="374" t="s">
        <v>2144</v>
      </c>
      <c r="L51" s="369" t="s">
        <v>2145</v>
      </c>
      <c r="M51" s="369" t="s">
        <v>1873</v>
      </c>
      <c r="N51" s="369" t="s">
        <v>84</v>
      </c>
      <c r="O51" s="369" t="s">
        <v>2143</v>
      </c>
      <c r="P51" s="516" t="s">
        <v>2546</v>
      </c>
      <c r="Q51" s="517"/>
      <c r="R51" s="518"/>
      <c r="S51" s="9"/>
    </row>
    <row r="52" spans="1:19" ht="13.5" customHeight="1">
      <c r="A52" s="15"/>
      <c r="B52" s="372">
        <v>45662</v>
      </c>
      <c r="C52" s="104" t="s">
        <v>1991</v>
      </c>
      <c r="D52" s="369" t="s">
        <v>2147</v>
      </c>
      <c r="E52" s="13">
        <v>15</v>
      </c>
      <c r="F52" s="13" t="s">
        <v>1879</v>
      </c>
      <c r="G52" s="13">
        <v>200000</v>
      </c>
      <c r="H52" s="13">
        <v>3000000</v>
      </c>
      <c r="I52" s="19">
        <f t="shared" si="3"/>
        <v>36000000</v>
      </c>
      <c r="J52" s="13" t="s">
        <v>142</v>
      </c>
      <c r="K52" s="374" t="s">
        <v>2138</v>
      </c>
      <c r="L52" s="369" t="s">
        <v>2139</v>
      </c>
      <c r="M52" s="369" t="s">
        <v>1873</v>
      </c>
      <c r="N52" s="369" t="s">
        <v>84</v>
      </c>
      <c r="O52" s="369"/>
      <c r="P52" s="516" t="s">
        <v>2546</v>
      </c>
      <c r="Q52" s="517"/>
      <c r="R52" s="518"/>
      <c r="S52" s="9"/>
    </row>
    <row r="53" spans="1:19" ht="13.5" customHeight="1">
      <c r="A53" s="15"/>
      <c r="B53" s="372">
        <v>46030</v>
      </c>
      <c r="C53" s="104" t="s">
        <v>2186</v>
      </c>
      <c r="D53" s="369" t="s">
        <v>2187</v>
      </c>
      <c r="E53" s="13">
        <v>6</v>
      </c>
      <c r="F53" s="13" t="s">
        <v>1879</v>
      </c>
      <c r="G53" s="13">
        <v>200000</v>
      </c>
      <c r="H53" s="13">
        <v>800000</v>
      </c>
      <c r="I53" s="19">
        <f t="shared" si="3"/>
        <v>9600000</v>
      </c>
      <c r="J53" s="13" t="s">
        <v>142</v>
      </c>
      <c r="K53" s="374" t="s">
        <v>2188</v>
      </c>
      <c r="L53" s="369" t="s">
        <v>2139</v>
      </c>
      <c r="M53" s="369" t="s">
        <v>1873</v>
      </c>
      <c r="N53" s="369" t="s">
        <v>84</v>
      </c>
      <c r="O53" s="369"/>
      <c r="P53" s="516" t="s">
        <v>2545</v>
      </c>
      <c r="Q53" s="517"/>
      <c r="R53" s="518"/>
      <c r="S53" s="9"/>
    </row>
    <row r="54" spans="1:19" ht="13.5" customHeight="1">
      <c r="A54" s="15"/>
      <c r="B54" s="372">
        <v>46034</v>
      </c>
      <c r="C54" s="104" t="s">
        <v>2189</v>
      </c>
      <c r="D54" s="369" t="s">
        <v>2190</v>
      </c>
      <c r="E54" s="13">
        <v>33</v>
      </c>
      <c r="F54" s="13" t="s">
        <v>1879</v>
      </c>
      <c r="G54" s="13">
        <v>200000</v>
      </c>
      <c r="H54" s="13">
        <v>8000000</v>
      </c>
      <c r="I54" s="19">
        <f t="shared" si="3"/>
        <v>96000000</v>
      </c>
      <c r="J54" s="13" t="s">
        <v>142</v>
      </c>
      <c r="K54" s="374" t="s">
        <v>2191</v>
      </c>
      <c r="L54" s="369" t="s">
        <v>2192</v>
      </c>
      <c r="M54" s="369" t="s">
        <v>1873</v>
      </c>
      <c r="N54" s="369" t="s">
        <v>84</v>
      </c>
      <c r="O54" s="376" t="s">
        <v>2193</v>
      </c>
      <c r="P54" s="516" t="s">
        <v>2542</v>
      </c>
      <c r="Q54" s="517"/>
      <c r="R54" s="518"/>
      <c r="S54" s="9"/>
    </row>
    <row r="55" spans="1:19" ht="13.5" customHeight="1">
      <c r="A55" s="15"/>
      <c r="B55" s="372">
        <v>46034</v>
      </c>
      <c r="C55" s="104" t="s">
        <v>2124</v>
      </c>
      <c r="D55" s="369" t="s">
        <v>2194</v>
      </c>
      <c r="E55" s="13">
        <v>30</v>
      </c>
      <c r="F55" s="13" t="s">
        <v>1879</v>
      </c>
      <c r="G55" s="13"/>
      <c r="H55" s="13">
        <v>3000000</v>
      </c>
      <c r="I55" s="19">
        <f t="shared" si="3"/>
        <v>36000000</v>
      </c>
      <c r="J55" s="13" t="s">
        <v>142</v>
      </c>
      <c r="K55" s="374" t="s">
        <v>2195</v>
      </c>
      <c r="L55" s="369" t="s">
        <v>2139</v>
      </c>
      <c r="M55" s="369" t="s">
        <v>1873</v>
      </c>
      <c r="N55" s="369" t="s">
        <v>84</v>
      </c>
      <c r="O55" s="369" t="s">
        <v>2196</v>
      </c>
      <c r="P55" s="515" t="s">
        <v>2544</v>
      </c>
      <c r="Q55" s="515"/>
      <c r="R55" s="515"/>
      <c r="S55" s="9"/>
    </row>
    <row r="56" spans="1:19" s="387" customFormat="1" ht="13.5" customHeight="1" thickBot="1">
      <c r="A56" s="381"/>
      <c r="B56" s="382">
        <v>46037</v>
      </c>
      <c r="C56" s="383" t="s">
        <v>2206</v>
      </c>
      <c r="D56" s="384" t="s">
        <v>2235</v>
      </c>
      <c r="E56" s="80">
        <v>7</v>
      </c>
      <c r="F56" s="80" t="s">
        <v>1879</v>
      </c>
      <c r="G56" s="80">
        <v>200000</v>
      </c>
      <c r="H56" s="88">
        <v>600000</v>
      </c>
      <c r="I56" s="88">
        <f t="shared" si="3"/>
        <v>7200000</v>
      </c>
      <c r="J56" s="80" t="s">
        <v>142</v>
      </c>
      <c r="K56" s="385" t="s">
        <v>2240</v>
      </c>
      <c r="L56" s="384" t="s">
        <v>2236</v>
      </c>
      <c r="M56" s="384" t="s">
        <v>1873</v>
      </c>
      <c r="N56" s="384" t="s">
        <v>84</v>
      </c>
      <c r="O56" s="384"/>
      <c r="P56" s="520" t="s">
        <v>2543</v>
      </c>
      <c r="Q56" s="520"/>
      <c r="R56" s="520"/>
      <c r="S56" s="386"/>
    </row>
    <row r="57" spans="1:19" ht="13.5" hidden="1" customHeight="1" thickTop="1">
      <c r="A57" s="15"/>
      <c r="B57" s="379">
        <v>46054</v>
      </c>
      <c r="C57" s="479" t="s">
        <v>2395</v>
      </c>
      <c r="D57" s="479" t="s">
        <v>2397</v>
      </c>
      <c r="E57" s="64" t="s">
        <v>81</v>
      </c>
      <c r="F57" s="479" t="s">
        <v>1895</v>
      </c>
      <c r="G57" s="64"/>
      <c r="H57" s="64">
        <v>2000000</v>
      </c>
      <c r="I57" s="64">
        <f t="shared" si="3"/>
        <v>24000000</v>
      </c>
      <c r="J57" s="479" t="s">
        <v>141</v>
      </c>
      <c r="K57" s="380" t="s">
        <v>154</v>
      </c>
      <c r="L57" s="479" t="s">
        <v>2145</v>
      </c>
      <c r="M57" s="479" t="s">
        <v>79</v>
      </c>
      <c r="N57" s="479" t="s">
        <v>115</v>
      </c>
      <c r="O57" s="479"/>
      <c r="P57" s="519"/>
      <c r="Q57" s="519"/>
      <c r="R57" s="519"/>
      <c r="S57" s="9"/>
    </row>
    <row r="58" spans="1:19" ht="13.5" hidden="1" customHeight="1">
      <c r="A58" s="15"/>
      <c r="B58" s="336">
        <v>46054</v>
      </c>
      <c r="C58" s="104" t="s">
        <v>2396</v>
      </c>
      <c r="D58" s="104" t="s">
        <v>2398</v>
      </c>
      <c r="E58" s="19" t="s">
        <v>81</v>
      </c>
      <c r="F58" s="104" t="s">
        <v>1895</v>
      </c>
      <c r="G58" s="19"/>
      <c r="H58" s="19">
        <v>2000000</v>
      </c>
      <c r="I58" s="19">
        <f t="shared" si="3"/>
        <v>24000000</v>
      </c>
      <c r="J58" s="104" t="s">
        <v>141</v>
      </c>
      <c r="K58" s="352" t="s">
        <v>154</v>
      </c>
      <c r="L58" s="104" t="s">
        <v>2145</v>
      </c>
      <c r="M58" s="104" t="s">
        <v>79</v>
      </c>
      <c r="N58" s="104" t="s">
        <v>115</v>
      </c>
      <c r="O58" s="104"/>
      <c r="P58" s="519"/>
      <c r="Q58" s="519"/>
      <c r="R58" s="519"/>
      <c r="S58" s="9"/>
    </row>
    <row r="59" spans="1:19" ht="13.5" hidden="1" customHeight="1">
      <c r="A59" s="15"/>
      <c r="B59" s="336">
        <v>46054</v>
      </c>
      <c r="C59" s="104" t="s">
        <v>2399</v>
      </c>
      <c r="D59" s="104" t="s">
        <v>2400</v>
      </c>
      <c r="E59" s="19">
        <v>5</v>
      </c>
      <c r="F59" s="104" t="s">
        <v>1880</v>
      </c>
      <c r="G59" s="19">
        <v>200000</v>
      </c>
      <c r="H59" s="19">
        <v>1500000</v>
      </c>
      <c r="I59" s="19">
        <f t="shared" si="3"/>
        <v>18000000</v>
      </c>
      <c r="J59" s="104" t="s">
        <v>141</v>
      </c>
      <c r="K59" s="352" t="s">
        <v>2401</v>
      </c>
      <c r="L59" s="104" t="s">
        <v>1892</v>
      </c>
      <c r="M59" s="104" t="s">
        <v>79</v>
      </c>
      <c r="N59" s="104" t="s">
        <v>115</v>
      </c>
      <c r="O59" s="104" t="s">
        <v>749</v>
      </c>
      <c r="P59" s="519" t="s">
        <v>2402</v>
      </c>
      <c r="Q59" s="519"/>
      <c r="R59" s="519"/>
      <c r="S59" s="9"/>
    </row>
    <row r="60" spans="1:19" ht="13.5" hidden="1" customHeight="1">
      <c r="A60" s="15"/>
      <c r="B60" s="336">
        <v>46054</v>
      </c>
      <c r="C60" s="104" t="s">
        <v>2403</v>
      </c>
      <c r="D60" s="104" t="s">
        <v>2404</v>
      </c>
      <c r="E60" s="19">
        <v>130</v>
      </c>
      <c r="F60" s="104" t="s">
        <v>1883</v>
      </c>
      <c r="G60" s="19"/>
      <c r="H60" s="19">
        <v>1000000</v>
      </c>
      <c r="I60" s="19">
        <f t="shared" si="3"/>
        <v>12000000</v>
      </c>
      <c r="J60" s="104" t="s">
        <v>141</v>
      </c>
      <c r="K60" s="352" t="s">
        <v>2405</v>
      </c>
      <c r="L60" s="104" t="s">
        <v>1899</v>
      </c>
      <c r="M60" s="104" t="s">
        <v>79</v>
      </c>
      <c r="N60" s="104" t="s">
        <v>115</v>
      </c>
      <c r="O60" s="104" t="s">
        <v>741</v>
      </c>
      <c r="P60" s="519" t="s">
        <v>2406</v>
      </c>
      <c r="Q60" s="519"/>
      <c r="R60" s="519"/>
      <c r="S60" s="9"/>
    </row>
    <row r="61" spans="1:19" ht="13.5" hidden="1" customHeight="1">
      <c r="A61" s="15"/>
      <c r="B61" s="336">
        <v>46062</v>
      </c>
      <c r="C61" s="104" t="s">
        <v>2423</v>
      </c>
      <c r="D61" s="395" t="s">
        <v>2424</v>
      </c>
      <c r="E61" s="19" t="s">
        <v>81</v>
      </c>
      <c r="F61" s="104" t="s">
        <v>1895</v>
      </c>
      <c r="G61" s="13"/>
      <c r="H61" s="19">
        <v>2000000</v>
      </c>
      <c r="I61" s="19">
        <f t="shared" si="3"/>
        <v>24000000</v>
      </c>
      <c r="J61" s="19" t="s">
        <v>141</v>
      </c>
      <c r="K61" s="352" t="s">
        <v>154</v>
      </c>
      <c r="L61" s="104" t="s">
        <v>2245</v>
      </c>
      <c r="M61" s="104" t="s">
        <v>79</v>
      </c>
      <c r="N61" s="104" t="s">
        <v>115</v>
      </c>
      <c r="O61" s="104" t="s">
        <v>1888</v>
      </c>
      <c r="P61" s="519"/>
      <c r="Q61" s="519"/>
      <c r="R61" s="519"/>
      <c r="S61" s="9"/>
    </row>
    <row r="62" spans="1:19" ht="13.5" hidden="1" customHeight="1">
      <c r="A62" s="15"/>
      <c r="B62" s="336">
        <v>46054</v>
      </c>
      <c r="C62" s="104" t="s">
        <v>2407</v>
      </c>
      <c r="D62" s="104" t="s">
        <v>2408</v>
      </c>
      <c r="E62" s="19">
        <v>30</v>
      </c>
      <c r="F62" s="104" t="s">
        <v>1880</v>
      </c>
      <c r="G62" s="19">
        <v>200000</v>
      </c>
      <c r="H62" s="19">
        <v>3000000</v>
      </c>
      <c r="I62" s="19">
        <f t="shared" si="3"/>
        <v>36000000</v>
      </c>
      <c r="J62" s="104" t="s">
        <v>141</v>
      </c>
      <c r="K62" s="352" t="s">
        <v>1307</v>
      </c>
      <c r="L62" s="104" t="s">
        <v>2145</v>
      </c>
      <c r="M62" s="104" t="s">
        <v>79</v>
      </c>
      <c r="N62" s="104" t="s">
        <v>115</v>
      </c>
      <c r="O62" s="104" t="s">
        <v>170</v>
      </c>
      <c r="P62" s="519" t="s">
        <v>2176</v>
      </c>
      <c r="Q62" s="519"/>
      <c r="R62" s="519"/>
      <c r="S62" s="9"/>
    </row>
    <row r="63" spans="1:19" ht="13.5" customHeight="1" thickTop="1">
      <c r="A63" s="15"/>
      <c r="B63" s="379">
        <v>46055</v>
      </c>
      <c r="C63" s="452" t="s">
        <v>1479</v>
      </c>
      <c r="D63" s="452" t="s">
        <v>2238</v>
      </c>
      <c r="E63" s="64">
        <v>33</v>
      </c>
      <c r="F63" s="71" t="s">
        <v>1879</v>
      </c>
      <c r="G63" s="71">
        <v>200000</v>
      </c>
      <c r="H63" s="64">
        <v>800000</v>
      </c>
      <c r="I63" s="19">
        <f t="shared" si="3"/>
        <v>9600000</v>
      </c>
      <c r="J63" s="71" t="s">
        <v>142</v>
      </c>
      <c r="K63" s="380" t="s">
        <v>2241</v>
      </c>
      <c r="L63" s="452" t="s">
        <v>2239</v>
      </c>
      <c r="M63" s="452" t="s">
        <v>1873</v>
      </c>
      <c r="N63" s="452" t="s">
        <v>84</v>
      </c>
      <c r="O63" s="452"/>
      <c r="P63" s="519" t="s">
        <v>2538</v>
      </c>
      <c r="Q63" s="519"/>
      <c r="R63" s="519"/>
      <c r="S63" s="9"/>
    </row>
    <row r="64" spans="1:19" ht="13.5" customHeight="1">
      <c r="A64" s="15"/>
      <c r="B64" s="372">
        <v>46055</v>
      </c>
      <c r="C64" s="104" t="s">
        <v>2248</v>
      </c>
      <c r="D64" s="369" t="s">
        <v>2541</v>
      </c>
      <c r="E64" s="378">
        <v>15</v>
      </c>
      <c r="F64" s="13" t="s">
        <v>1879</v>
      </c>
      <c r="G64" s="13">
        <v>200000</v>
      </c>
      <c r="H64" s="13">
        <v>3600000</v>
      </c>
      <c r="I64" s="19">
        <f t="shared" si="3"/>
        <v>43200000</v>
      </c>
      <c r="J64" s="13" t="s">
        <v>142</v>
      </c>
      <c r="K64" s="374" t="s">
        <v>2249</v>
      </c>
      <c r="L64" s="369" t="s">
        <v>2192</v>
      </c>
      <c r="M64" s="369" t="s">
        <v>1873</v>
      </c>
      <c r="N64" s="369" t="s">
        <v>84</v>
      </c>
      <c r="O64" s="376" t="s">
        <v>2193</v>
      </c>
      <c r="P64" s="516" t="s">
        <v>2542</v>
      </c>
      <c r="Q64" s="517"/>
      <c r="R64" s="518"/>
      <c r="S64" s="9"/>
    </row>
    <row r="65" spans="1:19" ht="13.5" customHeight="1">
      <c r="A65" s="15"/>
      <c r="B65" s="336">
        <v>46055</v>
      </c>
      <c r="C65" s="104" t="s">
        <v>2250</v>
      </c>
      <c r="D65" s="104" t="s">
        <v>2251</v>
      </c>
      <c r="E65" s="19">
        <v>10</v>
      </c>
      <c r="F65" s="104" t="s">
        <v>1879</v>
      </c>
      <c r="G65" s="13">
        <v>200000</v>
      </c>
      <c r="H65" s="19">
        <v>830000</v>
      </c>
      <c r="I65" s="19">
        <f t="shared" si="3"/>
        <v>9960000</v>
      </c>
      <c r="J65" s="104" t="s">
        <v>141</v>
      </c>
      <c r="K65" s="352" t="s">
        <v>898</v>
      </c>
      <c r="L65" s="104" t="s">
        <v>2139</v>
      </c>
      <c r="M65" s="104" t="s">
        <v>1873</v>
      </c>
      <c r="N65" s="104" t="s">
        <v>84</v>
      </c>
      <c r="O65" s="104"/>
      <c r="P65" s="516" t="s">
        <v>2532</v>
      </c>
      <c r="Q65" s="517"/>
      <c r="R65" s="518"/>
      <c r="S65" s="9"/>
    </row>
    <row r="66" spans="1:19" ht="13.5" customHeight="1">
      <c r="A66" s="15"/>
      <c r="B66" s="336">
        <v>46055</v>
      </c>
      <c r="C66" s="104" t="s">
        <v>2252</v>
      </c>
      <c r="D66" s="104" t="s">
        <v>2253</v>
      </c>
      <c r="E66" s="19">
        <v>30</v>
      </c>
      <c r="F66" s="104" t="s">
        <v>1879</v>
      </c>
      <c r="G66" s="13">
        <v>200000</v>
      </c>
      <c r="H66" s="19">
        <v>1500000</v>
      </c>
      <c r="I66" s="19">
        <f t="shared" si="3"/>
        <v>18000000</v>
      </c>
      <c r="J66" s="19" t="s">
        <v>142</v>
      </c>
      <c r="K66" s="352" t="s">
        <v>1602</v>
      </c>
      <c r="L66" s="104" t="s">
        <v>2254</v>
      </c>
      <c r="M66" s="104" t="s">
        <v>1873</v>
      </c>
      <c r="N66" s="104" t="s">
        <v>84</v>
      </c>
      <c r="O66" s="104"/>
      <c r="P66" s="516" t="s">
        <v>2540</v>
      </c>
      <c r="Q66" s="517"/>
      <c r="R66" s="518"/>
      <c r="S66" s="9"/>
    </row>
    <row r="67" spans="1:19" ht="13.5" customHeight="1">
      <c r="A67" s="15"/>
      <c r="B67" s="336">
        <v>46055</v>
      </c>
      <c r="C67" s="104" t="s">
        <v>2410</v>
      </c>
      <c r="D67" s="104" t="s">
        <v>2257</v>
      </c>
      <c r="E67" s="19">
        <v>50</v>
      </c>
      <c r="F67" s="104" t="s">
        <v>1880</v>
      </c>
      <c r="G67" s="13">
        <v>200000</v>
      </c>
      <c r="H67" s="19">
        <v>10000000</v>
      </c>
      <c r="I67" s="19">
        <f t="shared" si="3"/>
        <v>120000000</v>
      </c>
      <c r="J67" s="19" t="s">
        <v>142</v>
      </c>
      <c r="K67" s="352" t="s">
        <v>2258</v>
      </c>
      <c r="L67" s="104" t="s">
        <v>2259</v>
      </c>
      <c r="M67" s="104" t="s">
        <v>79</v>
      </c>
      <c r="N67" s="104" t="s">
        <v>84</v>
      </c>
      <c r="O67" s="104" t="s">
        <v>1888</v>
      </c>
      <c r="P67" s="516" t="s">
        <v>2409</v>
      </c>
      <c r="Q67" s="517"/>
      <c r="R67" s="518"/>
      <c r="S67" s="9"/>
    </row>
    <row r="68" spans="1:19" ht="13.5" customHeight="1">
      <c r="A68" s="15"/>
      <c r="B68" s="336">
        <v>46055</v>
      </c>
      <c r="C68" s="104" t="s">
        <v>2262</v>
      </c>
      <c r="D68" s="104" t="s">
        <v>2263</v>
      </c>
      <c r="E68" s="19">
        <v>76</v>
      </c>
      <c r="F68" s="104" t="s">
        <v>1880</v>
      </c>
      <c r="G68" s="13">
        <v>200000</v>
      </c>
      <c r="H68" s="19">
        <v>15000000</v>
      </c>
      <c r="I68" s="19">
        <f t="shared" si="3"/>
        <v>180000000</v>
      </c>
      <c r="J68" s="19" t="s">
        <v>142</v>
      </c>
      <c r="K68" s="352" t="s">
        <v>770</v>
      </c>
      <c r="L68" s="104" t="s">
        <v>2264</v>
      </c>
      <c r="M68" s="104" t="s">
        <v>1873</v>
      </c>
      <c r="N68" s="104" t="s">
        <v>84</v>
      </c>
      <c r="O68" s="104"/>
      <c r="P68" s="516" t="s">
        <v>2183</v>
      </c>
      <c r="Q68" s="517"/>
      <c r="R68" s="518"/>
      <c r="S68" s="9"/>
    </row>
    <row r="69" spans="1:19" ht="13.5" customHeight="1">
      <c r="A69" s="15"/>
      <c r="B69" s="336">
        <v>46055</v>
      </c>
      <c r="C69" s="104" t="s">
        <v>2265</v>
      </c>
      <c r="D69" s="104" t="s">
        <v>2266</v>
      </c>
      <c r="E69" s="19">
        <v>50</v>
      </c>
      <c r="F69" s="104" t="s">
        <v>1879</v>
      </c>
      <c r="G69" s="13">
        <v>200000</v>
      </c>
      <c r="H69" s="19">
        <v>5000000</v>
      </c>
      <c r="I69" s="19">
        <f t="shared" si="3"/>
        <v>60000000</v>
      </c>
      <c r="J69" s="104" t="s">
        <v>141</v>
      </c>
      <c r="K69" s="352" t="s">
        <v>1911</v>
      </c>
      <c r="L69" s="104" t="s">
        <v>2267</v>
      </c>
      <c r="M69" s="104" t="s">
        <v>1873</v>
      </c>
      <c r="N69" s="104" t="s">
        <v>84</v>
      </c>
      <c r="O69" s="104" t="s">
        <v>2412</v>
      </c>
      <c r="P69" s="516" t="s">
        <v>2540</v>
      </c>
      <c r="Q69" s="517"/>
      <c r="R69" s="518"/>
      <c r="S69" s="9"/>
    </row>
    <row r="70" spans="1:19" ht="13.5" customHeight="1">
      <c r="A70" s="15"/>
      <c r="B70" s="336">
        <v>46055</v>
      </c>
      <c r="C70" s="104" t="s">
        <v>2211</v>
      </c>
      <c r="D70" s="104" t="s">
        <v>2268</v>
      </c>
      <c r="E70" s="19">
        <v>8</v>
      </c>
      <c r="F70" s="104" t="s">
        <v>1880</v>
      </c>
      <c r="G70" s="13">
        <v>200000</v>
      </c>
      <c r="H70" s="19">
        <v>5600000</v>
      </c>
      <c r="I70" s="19">
        <f t="shared" si="3"/>
        <v>67200000</v>
      </c>
      <c r="J70" s="19" t="s">
        <v>142</v>
      </c>
      <c r="K70" s="352" t="s">
        <v>2270</v>
      </c>
      <c r="L70" s="104" t="s">
        <v>2269</v>
      </c>
      <c r="M70" s="104" t="s">
        <v>1873</v>
      </c>
      <c r="N70" s="104" t="s">
        <v>84</v>
      </c>
      <c r="O70" s="104"/>
      <c r="P70" s="516" t="s">
        <v>2413</v>
      </c>
      <c r="Q70" s="517"/>
      <c r="R70" s="518"/>
      <c r="S70" s="9"/>
    </row>
    <row r="71" spans="1:19" ht="13.5" customHeight="1">
      <c r="A71" s="15"/>
      <c r="B71" s="336">
        <v>46055</v>
      </c>
      <c r="C71" s="104" t="s">
        <v>2271</v>
      </c>
      <c r="D71" s="104" t="s">
        <v>2272</v>
      </c>
      <c r="E71" s="19">
        <v>11</v>
      </c>
      <c r="F71" s="104" t="s">
        <v>1879</v>
      </c>
      <c r="G71" s="13">
        <v>200000</v>
      </c>
      <c r="H71" s="19">
        <v>2860000</v>
      </c>
      <c r="I71" s="19">
        <f t="shared" si="3"/>
        <v>34320000</v>
      </c>
      <c r="J71" s="19" t="s">
        <v>142</v>
      </c>
      <c r="K71" s="352" t="s">
        <v>699</v>
      </c>
      <c r="L71" s="104" t="s">
        <v>1938</v>
      </c>
      <c r="M71" s="104" t="s">
        <v>1873</v>
      </c>
      <c r="N71" s="104" t="s">
        <v>84</v>
      </c>
      <c r="O71" s="104"/>
      <c r="P71" s="516" t="s">
        <v>2539</v>
      </c>
      <c r="Q71" s="517"/>
      <c r="R71" s="518"/>
      <c r="S71" s="9"/>
    </row>
    <row r="72" spans="1:19" ht="13.5" customHeight="1">
      <c r="A72" s="15"/>
      <c r="B72" s="336">
        <v>46062</v>
      </c>
      <c r="C72" s="104" t="s">
        <v>2411</v>
      </c>
      <c r="D72" s="104" t="s">
        <v>2274</v>
      </c>
      <c r="E72" s="19">
        <v>27</v>
      </c>
      <c r="F72" s="104" t="s">
        <v>1880</v>
      </c>
      <c r="G72" s="13"/>
      <c r="H72" s="19">
        <v>4000000</v>
      </c>
      <c r="I72" s="19">
        <f t="shared" si="3"/>
        <v>48000000</v>
      </c>
      <c r="J72" s="19" t="s">
        <v>142</v>
      </c>
      <c r="K72" s="352" t="s">
        <v>763</v>
      </c>
      <c r="L72" s="104" t="s">
        <v>2192</v>
      </c>
      <c r="M72" s="104" t="s">
        <v>1873</v>
      </c>
      <c r="N72" s="104" t="s">
        <v>84</v>
      </c>
      <c r="O72" s="104"/>
      <c r="P72" s="516" t="s">
        <v>2414</v>
      </c>
      <c r="Q72" s="517"/>
      <c r="R72" s="518"/>
      <c r="S72" s="9"/>
    </row>
    <row r="73" spans="1:19" ht="13.5" customHeight="1">
      <c r="A73" s="15"/>
      <c r="B73" s="336">
        <v>46062</v>
      </c>
      <c r="C73" s="104" t="s">
        <v>2260</v>
      </c>
      <c r="D73" s="104" t="s">
        <v>2261</v>
      </c>
      <c r="E73" s="19">
        <v>50</v>
      </c>
      <c r="F73" s="104" t="s">
        <v>1879</v>
      </c>
      <c r="G73" s="13">
        <v>200000</v>
      </c>
      <c r="H73" s="19">
        <v>15000000</v>
      </c>
      <c r="I73" s="19">
        <f t="shared" si="3"/>
        <v>180000000</v>
      </c>
      <c r="J73" s="104" t="s">
        <v>141</v>
      </c>
      <c r="K73" s="352" t="s">
        <v>1029</v>
      </c>
      <c r="L73" s="104" t="s">
        <v>1931</v>
      </c>
      <c r="M73" s="104" t="s">
        <v>1873</v>
      </c>
      <c r="N73" s="104" t="s">
        <v>84</v>
      </c>
      <c r="O73" s="104" t="s">
        <v>2412</v>
      </c>
      <c r="P73" s="516" t="s">
        <v>2538</v>
      </c>
      <c r="Q73" s="517"/>
      <c r="R73" s="518"/>
      <c r="S73" s="9"/>
    </row>
    <row r="74" spans="1:19" ht="13.5" customHeight="1">
      <c r="A74" s="15"/>
      <c r="B74" s="336">
        <v>46062</v>
      </c>
      <c r="C74" s="104" t="s">
        <v>2275</v>
      </c>
      <c r="D74" s="104" t="s">
        <v>2276</v>
      </c>
      <c r="E74" s="19">
        <v>20</v>
      </c>
      <c r="F74" s="104" t="s">
        <v>1879</v>
      </c>
      <c r="G74" s="13">
        <v>200000</v>
      </c>
      <c r="H74" s="19">
        <v>1600000</v>
      </c>
      <c r="I74" s="19">
        <f t="shared" si="3"/>
        <v>19200000</v>
      </c>
      <c r="J74" s="19" t="s">
        <v>142</v>
      </c>
      <c r="K74" s="352" t="s">
        <v>2277</v>
      </c>
      <c r="L74" s="104" t="s">
        <v>2192</v>
      </c>
      <c r="M74" s="104" t="s">
        <v>1873</v>
      </c>
      <c r="N74" s="104" t="s">
        <v>84</v>
      </c>
      <c r="O74" s="104"/>
      <c r="P74" s="516" t="s">
        <v>2537</v>
      </c>
      <c r="Q74" s="517"/>
      <c r="R74" s="518"/>
      <c r="S74" s="9"/>
    </row>
    <row r="75" spans="1:19" ht="13.5" customHeight="1">
      <c r="A75" s="15"/>
      <c r="B75" s="336">
        <v>46063</v>
      </c>
      <c r="C75" s="104" t="s">
        <v>1616</v>
      </c>
      <c r="D75" s="104" t="s">
        <v>2536</v>
      </c>
      <c r="E75" s="19">
        <v>100</v>
      </c>
      <c r="F75" s="104" t="s">
        <v>1879</v>
      </c>
      <c r="G75" s="13">
        <v>200000</v>
      </c>
      <c r="H75" s="19">
        <v>8330000</v>
      </c>
      <c r="I75" s="19">
        <f t="shared" si="3"/>
        <v>99960000</v>
      </c>
      <c r="J75" s="19" t="s">
        <v>142</v>
      </c>
      <c r="K75" s="352" t="s">
        <v>2255</v>
      </c>
      <c r="L75" s="104" t="s">
        <v>2256</v>
      </c>
      <c r="M75" s="104" t="s">
        <v>1873</v>
      </c>
      <c r="N75" s="104" t="s">
        <v>84</v>
      </c>
      <c r="O75" s="104"/>
      <c r="P75" s="516" t="s">
        <v>2537</v>
      </c>
      <c r="Q75" s="517"/>
      <c r="R75" s="518"/>
      <c r="S75" s="9"/>
    </row>
    <row r="76" spans="1:19" ht="13.5" customHeight="1">
      <c r="A76" s="15"/>
      <c r="B76" s="336">
        <v>46063</v>
      </c>
      <c r="C76" s="104" t="s">
        <v>2416</v>
      </c>
      <c r="D76" s="104" t="s">
        <v>2417</v>
      </c>
      <c r="E76" s="19">
        <v>3</v>
      </c>
      <c r="F76" s="104" t="s">
        <v>1879</v>
      </c>
      <c r="G76" s="13"/>
      <c r="H76" s="19">
        <v>200000</v>
      </c>
      <c r="I76" s="19">
        <f t="shared" si="3"/>
        <v>2400000</v>
      </c>
      <c r="J76" s="19" t="s">
        <v>142</v>
      </c>
      <c r="K76" s="352" t="s">
        <v>2418</v>
      </c>
      <c r="L76" s="104" t="s">
        <v>2419</v>
      </c>
      <c r="M76" s="104" t="s">
        <v>1873</v>
      </c>
      <c r="N76" s="104" t="s">
        <v>84</v>
      </c>
      <c r="O76" s="104"/>
      <c r="P76" s="516"/>
      <c r="Q76" s="517"/>
      <c r="R76" s="518"/>
      <c r="S76" s="9"/>
    </row>
    <row r="77" spans="1:19" ht="13.5" customHeight="1">
      <c r="A77" s="15"/>
      <c r="B77" s="336">
        <v>46069</v>
      </c>
      <c r="C77" s="104" t="s">
        <v>2225</v>
      </c>
      <c r="D77" s="104" t="s">
        <v>2420</v>
      </c>
      <c r="E77" s="19">
        <v>7</v>
      </c>
      <c r="F77" s="104" t="s">
        <v>1879</v>
      </c>
      <c r="G77" s="13">
        <v>200000</v>
      </c>
      <c r="H77" s="19">
        <v>1000000</v>
      </c>
      <c r="I77" s="19">
        <f t="shared" si="3"/>
        <v>12000000</v>
      </c>
      <c r="J77" s="19" t="s">
        <v>142</v>
      </c>
      <c r="K77" s="352" t="s">
        <v>2421</v>
      </c>
      <c r="L77" s="104" t="s">
        <v>2139</v>
      </c>
      <c r="M77" s="104" t="s">
        <v>1873</v>
      </c>
      <c r="N77" s="104" t="s">
        <v>84</v>
      </c>
      <c r="O77" s="104"/>
      <c r="P77" s="516" t="s">
        <v>2535</v>
      </c>
      <c r="Q77" s="517"/>
      <c r="R77" s="518"/>
      <c r="S77" s="9"/>
    </row>
    <row r="78" spans="1:19" ht="13.5" customHeight="1">
      <c r="A78" s="15"/>
      <c r="B78" s="336">
        <v>46065</v>
      </c>
      <c r="C78" s="104" t="s">
        <v>2057</v>
      </c>
      <c r="D78" s="104" t="s">
        <v>2425</v>
      </c>
      <c r="E78" s="19">
        <v>83</v>
      </c>
      <c r="F78" s="104" t="s">
        <v>1879</v>
      </c>
      <c r="G78" s="13">
        <v>200000</v>
      </c>
      <c r="H78" s="19">
        <v>3500000</v>
      </c>
      <c r="I78" s="19">
        <f t="shared" si="3"/>
        <v>42000000</v>
      </c>
      <c r="J78" s="19" t="s">
        <v>142</v>
      </c>
      <c r="K78" s="352" t="s">
        <v>2427</v>
      </c>
      <c r="L78" s="104" t="s">
        <v>2426</v>
      </c>
      <c r="M78" s="104" t="s">
        <v>1873</v>
      </c>
      <c r="N78" s="104" t="s">
        <v>84</v>
      </c>
      <c r="O78" s="104"/>
      <c r="P78" s="516" t="s">
        <v>2532</v>
      </c>
      <c r="Q78" s="517"/>
      <c r="R78" s="518"/>
      <c r="S78" s="9"/>
    </row>
    <row r="79" spans="1:19" ht="13.5" customHeight="1">
      <c r="A79" s="15"/>
      <c r="B79" s="336">
        <v>46066</v>
      </c>
      <c r="C79" s="104" t="s">
        <v>2307</v>
      </c>
      <c r="D79" s="104" t="s">
        <v>2428</v>
      </c>
      <c r="E79" s="19">
        <v>30</v>
      </c>
      <c r="F79" s="46" t="s">
        <v>1880</v>
      </c>
      <c r="G79" s="13">
        <v>200000</v>
      </c>
      <c r="H79" s="19">
        <v>6000000</v>
      </c>
      <c r="I79" s="19">
        <f t="shared" si="3"/>
        <v>72000000</v>
      </c>
      <c r="J79" s="19" t="s">
        <v>142</v>
      </c>
      <c r="K79" s="352" t="s">
        <v>2429</v>
      </c>
      <c r="L79" s="104" t="s">
        <v>1938</v>
      </c>
      <c r="M79" s="104" t="s">
        <v>1873</v>
      </c>
      <c r="N79" s="104" t="s">
        <v>84</v>
      </c>
      <c r="O79" s="104"/>
      <c r="P79" s="516" t="s">
        <v>2531</v>
      </c>
      <c r="Q79" s="517"/>
      <c r="R79" s="518"/>
      <c r="S79" s="9"/>
    </row>
    <row r="80" spans="1:19" ht="13.5" customHeight="1" thickBot="1">
      <c r="A80" s="15"/>
      <c r="B80" s="382">
        <v>46076</v>
      </c>
      <c r="C80" s="384" t="s">
        <v>2430</v>
      </c>
      <c r="D80" s="384" t="s">
        <v>2431</v>
      </c>
      <c r="E80" s="88">
        <v>2</v>
      </c>
      <c r="F80" s="396" t="s">
        <v>1880</v>
      </c>
      <c r="G80" s="80">
        <v>200000</v>
      </c>
      <c r="H80" s="88">
        <v>100000</v>
      </c>
      <c r="I80" s="88">
        <f t="shared" ref="I80:I135" si="4">H80*12</f>
        <v>1200000</v>
      </c>
      <c r="J80" s="88" t="s">
        <v>142</v>
      </c>
      <c r="K80" s="385" t="s">
        <v>2432</v>
      </c>
      <c r="L80" s="384" t="s">
        <v>2245</v>
      </c>
      <c r="M80" s="384" t="s">
        <v>79</v>
      </c>
      <c r="N80" s="384" t="s">
        <v>84</v>
      </c>
      <c r="O80" s="384"/>
      <c r="P80" s="532"/>
      <c r="Q80" s="533"/>
      <c r="R80" s="534"/>
      <c r="S80" s="9"/>
    </row>
    <row r="81" spans="1:19" ht="13.5" hidden="1" customHeight="1" thickTop="1">
      <c r="A81" s="15"/>
      <c r="B81" s="379">
        <v>46097</v>
      </c>
      <c r="C81" s="452" t="s">
        <v>2242</v>
      </c>
      <c r="D81" s="452" t="s">
        <v>2243</v>
      </c>
      <c r="E81" s="64" t="s">
        <v>81</v>
      </c>
      <c r="F81" s="452" t="s">
        <v>1880</v>
      </c>
      <c r="G81" s="64"/>
      <c r="H81" s="64">
        <v>200000000</v>
      </c>
      <c r="I81" s="64">
        <f t="shared" si="4"/>
        <v>2400000000</v>
      </c>
      <c r="J81" s="452" t="s">
        <v>141</v>
      </c>
      <c r="K81" s="380" t="s">
        <v>154</v>
      </c>
      <c r="L81" s="452" t="s">
        <v>2145</v>
      </c>
      <c r="M81" s="452" t="s">
        <v>79</v>
      </c>
      <c r="N81" s="452" t="s">
        <v>115</v>
      </c>
      <c r="O81" s="452" t="s">
        <v>1923</v>
      </c>
      <c r="P81" s="519" t="s">
        <v>2246</v>
      </c>
      <c r="Q81" s="519"/>
      <c r="R81" s="519"/>
      <c r="S81" s="9"/>
    </row>
    <row r="82" spans="1:19" ht="13.5" hidden="1" customHeight="1">
      <c r="A82" s="15"/>
      <c r="B82" s="379">
        <v>46084</v>
      </c>
      <c r="C82" s="452" t="s">
        <v>2435</v>
      </c>
      <c r="D82" s="452" t="s">
        <v>2436</v>
      </c>
      <c r="E82" s="64">
        <v>20</v>
      </c>
      <c r="F82" s="452" t="s">
        <v>1880</v>
      </c>
      <c r="G82" s="64">
        <v>200000</v>
      </c>
      <c r="H82" s="64">
        <v>4000000</v>
      </c>
      <c r="I82" s="19">
        <f t="shared" si="4"/>
        <v>48000000</v>
      </c>
      <c r="J82" s="452" t="s">
        <v>141</v>
      </c>
      <c r="K82" s="394" t="s">
        <v>2437</v>
      </c>
      <c r="L82" s="452" t="s">
        <v>2264</v>
      </c>
      <c r="M82" s="452" t="s">
        <v>2438</v>
      </c>
      <c r="N82" s="452" t="s">
        <v>115</v>
      </c>
      <c r="O82" s="452" t="s">
        <v>1888</v>
      </c>
      <c r="P82" s="516" t="s">
        <v>2178</v>
      </c>
      <c r="Q82" s="517"/>
      <c r="R82" s="518"/>
      <c r="S82" s="9"/>
    </row>
    <row r="83" spans="1:19" ht="13.5" customHeight="1" thickTop="1">
      <c r="A83" s="15"/>
      <c r="B83" s="336">
        <v>46084</v>
      </c>
      <c r="C83" s="104" t="s">
        <v>2318</v>
      </c>
      <c r="D83" s="104" t="s">
        <v>2434</v>
      </c>
      <c r="E83" s="19">
        <v>110</v>
      </c>
      <c r="F83" s="104" t="s">
        <v>1880</v>
      </c>
      <c r="G83" s="64">
        <v>200000</v>
      </c>
      <c r="H83" s="19">
        <v>11000000</v>
      </c>
      <c r="I83" s="19">
        <f t="shared" si="4"/>
        <v>132000000</v>
      </c>
      <c r="J83" s="104" t="s">
        <v>142</v>
      </c>
      <c r="K83" s="394" t="s">
        <v>1602</v>
      </c>
      <c r="L83" s="104" t="s">
        <v>2422</v>
      </c>
      <c r="M83" s="104" t="s">
        <v>1873</v>
      </c>
      <c r="N83" s="104" t="s">
        <v>84</v>
      </c>
      <c r="O83" s="104"/>
      <c r="P83" s="516" t="s">
        <v>2530</v>
      </c>
      <c r="Q83" s="517"/>
      <c r="R83" s="518"/>
      <c r="S83" s="9"/>
    </row>
    <row r="84" spans="1:19" ht="13.5" customHeight="1">
      <c r="A84" s="15"/>
      <c r="B84" s="336">
        <v>46090</v>
      </c>
      <c r="C84" s="104" t="s">
        <v>2445</v>
      </c>
      <c r="D84" s="104" t="s">
        <v>2710</v>
      </c>
      <c r="E84" s="19">
        <v>23</v>
      </c>
      <c r="F84" s="104" t="s">
        <v>1879</v>
      </c>
      <c r="G84" s="64">
        <v>200000</v>
      </c>
      <c r="H84" s="19">
        <v>2300000</v>
      </c>
      <c r="I84" s="19">
        <f t="shared" si="4"/>
        <v>27600000</v>
      </c>
      <c r="J84" s="104" t="s">
        <v>142</v>
      </c>
      <c r="K84" s="352" t="s">
        <v>2446</v>
      </c>
      <c r="L84" s="104" t="s">
        <v>2447</v>
      </c>
      <c r="M84" s="104" t="s">
        <v>1873</v>
      </c>
      <c r="N84" s="104" t="s">
        <v>84</v>
      </c>
      <c r="O84" s="405"/>
      <c r="P84" s="515" t="s">
        <v>2540</v>
      </c>
      <c r="Q84" s="515"/>
      <c r="R84" s="515"/>
      <c r="S84" s="9"/>
    </row>
    <row r="85" spans="1:19" ht="13.5" customHeight="1">
      <c r="A85" s="15"/>
      <c r="B85" s="336">
        <v>46090</v>
      </c>
      <c r="C85" s="104" t="s">
        <v>2288</v>
      </c>
      <c r="D85" s="104" t="s">
        <v>2528</v>
      </c>
      <c r="E85" s="19">
        <v>36</v>
      </c>
      <c r="F85" s="104" t="s">
        <v>1879</v>
      </c>
      <c r="G85" s="64">
        <v>200000</v>
      </c>
      <c r="H85" s="19">
        <v>1500000</v>
      </c>
      <c r="I85" s="19">
        <f t="shared" si="4"/>
        <v>18000000</v>
      </c>
      <c r="J85" s="104" t="s">
        <v>142</v>
      </c>
      <c r="K85" s="352" t="s">
        <v>2448</v>
      </c>
      <c r="L85" s="104" t="s">
        <v>2449</v>
      </c>
      <c r="M85" s="104" t="s">
        <v>1873</v>
      </c>
      <c r="N85" s="104" t="s">
        <v>84</v>
      </c>
      <c r="O85" s="405"/>
      <c r="P85" s="515" t="s">
        <v>2532</v>
      </c>
      <c r="Q85" s="515"/>
      <c r="R85" s="515"/>
      <c r="S85" s="9"/>
    </row>
    <row r="86" spans="1:19" ht="13.5" customHeight="1">
      <c r="A86" s="15"/>
      <c r="B86" s="336">
        <v>46090</v>
      </c>
      <c r="C86" s="104" t="s">
        <v>2450</v>
      </c>
      <c r="D86" s="104" t="s">
        <v>2529</v>
      </c>
      <c r="E86" s="19">
        <v>8</v>
      </c>
      <c r="F86" s="104" t="s">
        <v>1879</v>
      </c>
      <c r="G86" s="64">
        <v>200000</v>
      </c>
      <c r="H86" s="19">
        <v>600000</v>
      </c>
      <c r="I86" s="19">
        <f t="shared" si="4"/>
        <v>7200000</v>
      </c>
      <c r="J86" s="104" t="s">
        <v>142</v>
      </c>
      <c r="K86" s="352" t="s">
        <v>2240</v>
      </c>
      <c r="L86" s="104" t="s">
        <v>1931</v>
      </c>
      <c r="M86" s="104" t="s">
        <v>1873</v>
      </c>
      <c r="N86" s="104" t="s">
        <v>84</v>
      </c>
      <c r="O86" s="405"/>
      <c r="P86" s="515" t="s">
        <v>2533</v>
      </c>
      <c r="Q86" s="515"/>
      <c r="R86" s="515"/>
      <c r="S86" s="9"/>
    </row>
    <row r="87" spans="1:19" ht="13.5" customHeight="1">
      <c r="A87" s="15"/>
      <c r="B87" s="336">
        <v>46090</v>
      </c>
      <c r="C87" s="104" t="s">
        <v>2520</v>
      </c>
      <c r="D87" s="104" t="s">
        <v>2527</v>
      </c>
      <c r="E87" s="19">
        <v>40</v>
      </c>
      <c r="F87" s="104" t="s">
        <v>1879</v>
      </c>
      <c r="G87" s="64">
        <v>200000</v>
      </c>
      <c r="H87" s="19">
        <v>13330000</v>
      </c>
      <c r="I87" s="19">
        <f t="shared" si="4"/>
        <v>159960000</v>
      </c>
      <c r="J87" s="104" t="s">
        <v>142</v>
      </c>
      <c r="K87" s="352" t="s">
        <v>2521</v>
      </c>
      <c r="L87" s="104" t="s">
        <v>2259</v>
      </c>
      <c r="M87" s="104" t="s">
        <v>1873</v>
      </c>
      <c r="N87" s="104" t="s">
        <v>84</v>
      </c>
      <c r="O87" s="104"/>
      <c r="P87" s="515" t="s">
        <v>2534</v>
      </c>
      <c r="Q87" s="515"/>
      <c r="R87" s="515"/>
      <c r="S87" s="9"/>
    </row>
    <row r="88" spans="1:19" ht="13.5" customHeight="1">
      <c r="A88" s="15"/>
      <c r="B88" s="336">
        <v>46091</v>
      </c>
      <c r="C88" s="104" t="s">
        <v>2522</v>
      </c>
      <c r="D88" s="104" t="s">
        <v>2711</v>
      </c>
      <c r="E88" s="19">
        <v>23</v>
      </c>
      <c r="F88" s="104" t="s">
        <v>1880</v>
      </c>
      <c r="G88" s="64">
        <v>200000</v>
      </c>
      <c r="H88" s="19">
        <v>2800000</v>
      </c>
      <c r="I88" s="19">
        <f t="shared" si="4"/>
        <v>33600000</v>
      </c>
      <c r="J88" s="104" t="s">
        <v>142</v>
      </c>
      <c r="K88" s="352" t="s">
        <v>1407</v>
      </c>
      <c r="L88" s="104" t="s">
        <v>2422</v>
      </c>
      <c r="M88" s="104" t="s">
        <v>1873</v>
      </c>
      <c r="N88" s="104" t="s">
        <v>84</v>
      </c>
      <c r="O88" s="104"/>
      <c r="P88" s="515" t="s">
        <v>2178</v>
      </c>
      <c r="Q88" s="515"/>
      <c r="R88" s="515"/>
      <c r="S88" s="9"/>
    </row>
    <row r="89" spans="1:19" ht="13.5" hidden="1" customHeight="1">
      <c r="A89" s="15"/>
      <c r="B89" s="336">
        <v>46090</v>
      </c>
      <c r="C89" s="104" t="s">
        <v>2525</v>
      </c>
      <c r="D89" s="104" t="s">
        <v>2526</v>
      </c>
      <c r="E89" s="19" t="s">
        <v>81</v>
      </c>
      <c r="F89" s="104" t="s">
        <v>1895</v>
      </c>
      <c r="G89" s="64">
        <v>200000</v>
      </c>
      <c r="H89" s="19">
        <v>2000000</v>
      </c>
      <c r="I89" s="19">
        <f t="shared" si="4"/>
        <v>24000000</v>
      </c>
      <c r="J89" s="104" t="s">
        <v>141</v>
      </c>
      <c r="K89" s="380" t="s">
        <v>154</v>
      </c>
      <c r="L89" s="104" t="s">
        <v>1938</v>
      </c>
      <c r="M89" s="104" t="s">
        <v>79</v>
      </c>
      <c r="N89" s="104" t="s">
        <v>115</v>
      </c>
      <c r="O89" s="104" t="s">
        <v>1923</v>
      </c>
      <c r="P89" s="515"/>
      <c r="Q89" s="515"/>
      <c r="R89" s="515"/>
      <c r="S89" s="9"/>
    </row>
    <row r="90" spans="1:19" ht="13.5" customHeight="1">
      <c r="A90" s="15"/>
      <c r="B90" s="336">
        <v>46097</v>
      </c>
      <c r="C90" s="104" t="s">
        <v>2484</v>
      </c>
      <c r="D90" s="104" t="s">
        <v>2712</v>
      </c>
      <c r="E90" s="19">
        <v>10</v>
      </c>
      <c r="F90" s="104" t="s">
        <v>1879</v>
      </c>
      <c r="G90" s="64">
        <v>200000</v>
      </c>
      <c r="H90" s="19">
        <v>1000000</v>
      </c>
      <c r="I90" s="19">
        <f t="shared" si="4"/>
        <v>12000000</v>
      </c>
      <c r="J90" s="104" t="s">
        <v>142</v>
      </c>
      <c r="K90" s="380" t="s">
        <v>1600</v>
      </c>
      <c r="L90" s="104" t="s">
        <v>2560</v>
      </c>
      <c r="M90" s="104" t="s">
        <v>1873</v>
      </c>
      <c r="N90" s="104" t="s">
        <v>84</v>
      </c>
      <c r="O90" s="104"/>
      <c r="P90" s="515" t="s">
        <v>2561</v>
      </c>
      <c r="Q90" s="515"/>
      <c r="R90" s="515"/>
      <c r="S90" s="9"/>
    </row>
    <row r="91" spans="1:19" ht="13.5" customHeight="1">
      <c r="A91" s="15"/>
      <c r="B91" s="336">
        <v>46097</v>
      </c>
      <c r="C91" s="104" t="s">
        <v>2501</v>
      </c>
      <c r="D91" s="104" t="s">
        <v>2713</v>
      </c>
      <c r="E91" s="19">
        <v>10</v>
      </c>
      <c r="F91" s="104" t="s">
        <v>1879</v>
      </c>
      <c r="G91" s="64">
        <v>200000</v>
      </c>
      <c r="H91" s="19">
        <v>830000</v>
      </c>
      <c r="I91" s="19">
        <f t="shared" si="4"/>
        <v>9960000</v>
      </c>
      <c r="J91" s="104" t="s">
        <v>142</v>
      </c>
      <c r="K91" s="380" t="s">
        <v>1600</v>
      </c>
      <c r="L91" s="104" t="s">
        <v>1938</v>
      </c>
      <c r="M91" s="104" t="s">
        <v>1873</v>
      </c>
      <c r="N91" s="104" t="s">
        <v>84</v>
      </c>
      <c r="O91" s="104"/>
      <c r="P91" s="515" t="s">
        <v>2562</v>
      </c>
      <c r="Q91" s="515"/>
      <c r="R91" s="515"/>
      <c r="S91" s="9"/>
    </row>
    <row r="92" spans="1:19" ht="13.5" customHeight="1">
      <c r="A92" s="15"/>
      <c r="B92" s="336">
        <v>46099</v>
      </c>
      <c r="C92" s="104" t="s">
        <v>2564</v>
      </c>
      <c r="D92" s="104" t="s">
        <v>2714</v>
      </c>
      <c r="E92" s="19">
        <v>5</v>
      </c>
      <c r="F92" s="104" t="s">
        <v>1880</v>
      </c>
      <c r="G92" s="64">
        <v>200000</v>
      </c>
      <c r="H92" s="19">
        <v>1000000</v>
      </c>
      <c r="I92" s="19">
        <f t="shared" si="4"/>
        <v>12000000</v>
      </c>
      <c r="J92" s="104" t="s">
        <v>142</v>
      </c>
      <c r="K92" s="380" t="s">
        <v>2565</v>
      </c>
      <c r="L92" s="104" t="s">
        <v>2269</v>
      </c>
      <c r="M92" s="104" t="s">
        <v>1873</v>
      </c>
      <c r="N92" s="104" t="s">
        <v>84</v>
      </c>
      <c r="O92" s="104"/>
      <c r="P92" s="515" t="s">
        <v>2531</v>
      </c>
      <c r="Q92" s="515"/>
      <c r="R92" s="515"/>
      <c r="S92" s="9"/>
    </row>
    <row r="93" spans="1:19" ht="13.5" customHeight="1">
      <c r="A93" s="15"/>
      <c r="B93" s="336">
        <v>46104</v>
      </c>
      <c r="C93" s="104" t="s">
        <v>2480</v>
      </c>
      <c r="D93" s="104" t="s">
        <v>2563</v>
      </c>
      <c r="E93" s="19">
        <v>27</v>
      </c>
      <c r="F93" s="104" t="s">
        <v>1879</v>
      </c>
      <c r="G93" s="64">
        <v>200000</v>
      </c>
      <c r="H93" s="19">
        <v>4000000</v>
      </c>
      <c r="I93" s="19">
        <f t="shared" si="4"/>
        <v>48000000</v>
      </c>
      <c r="J93" s="104" t="s">
        <v>142</v>
      </c>
      <c r="K93" s="380" t="s">
        <v>2715</v>
      </c>
      <c r="L93" s="104" t="s">
        <v>2264</v>
      </c>
      <c r="M93" s="104" t="s">
        <v>1873</v>
      </c>
      <c r="N93" s="104" t="s">
        <v>84</v>
      </c>
      <c r="O93" s="104"/>
      <c r="P93" s="515"/>
      <c r="Q93" s="515"/>
      <c r="R93" s="515"/>
      <c r="S93" s="9"/>
    </row>
    <row r="94" spans="1:19" ht="13.5" hidden="1" customHeight="1">
      <c r="A94" s="15"/>
      <c r="B94" s="336">
        <v>46104</v>
      </c>
      <c r="C94" s="104" t="s">
        <v>2439</v>
      </c>
      <c r="D94" s="104" t="s">
        <v>2716</v>
      </c>
      <c r="E94" s="19">
        <v>50</v>
      </c>
      <c r="F94" s="104" t="s">
        <v>1883</v>
      </c>
      <c r="G94" s="19"/>
      <c r="H94" s="19">
        <v>12000000</v>
      </c>
      <c r="I94" s="19">
        <f t="shared" si="4"/>
        <v>144000000</v>
      </c>
      <c r="J94" s="104" t="s">
        <v>141</v>
      </c>
      <c r="K94" s="352" t="s">
        <v>154</v>
      </c>
      <c r="L94" s="104" t="s">
        <v>2145</v>
      </c>
      <c r="M94" s="104" t="s">
        <v>79</v>
      </c>
      <c r="N94" s="104" t="s">
        <v>115</v>
      </c>
      <c r="O94" s="104" t="s">
        <v>867</v>
      </c>
      <c r="P94" s="515" t="s">
        <v>2442</v>
      </c>
      <c r="Q94" s="515"/>
      <c r="R94" s="515"/>
      <c r="S94" s="9"/>
    </row>
    <row r="95" spans="1:19" ht="13.5" hidden="1" customHeight="1" thickBot="1">
      <c r="A95" s="15"/>
      <c r="B95" s="382">
        <v>46111</v>
      </c>
      <c r="C95" s="384" t="s">
        <v>2440</v>
      </c>
      <c r="D95" s="384" t="s">
        <v>2716</v>
      </c>
      <c r="E95" s="88">
        <v>150</v>
      </c>
      <c r="F95" s="384" t="s">
        <v>1883</v>
      </c>
      <c r="G95" s="88"/>
      <c r="H95" s="88">
        <v>36000000</v>
      </c>
      <c r="I95" s="88">
        <f t="shared" si="4"/>
        <v>432000000</v>
      </c>
      <c r="J95" s="384" t="s">
        <v>141</v>
      </c>
      <c r="K95" s="385" t="s">
        <v>154</v>
      </c>
      <c r="L95" s="384" t="s">
        <v>2145</v>
      </c>
      <c r="M95" s="384" t="s">
        <v>79</v>
      </c>
      <c r="N95" s="384" t="s">
        <v>115</v>
      </c>
      <c r="O95" s="384" t="s">
        <v>2441</v>
      </c>
      <c r="P95" s="520" t="s">
        <v>2442</v>
      </c>
      <c r="Q95" s="520"/>
      <c r="R95" s="520"/>
      <c r="S95" s="9"/>
    </row>
    <row r="96" spans="1:19" ht="13.5" customHeight="1">
      <c r="A96" s="15"/>
      <c r="B96" s="379">
        <v>46113</v>
      </c>
      <c r="C96" s="460" t="s">
        <v>2556</v>
      </c>
      <c r="D96" s="479" t="s">
        <v>2737</v>
      </c>
      <c r="E96" s="64">
        <v>140</v>
      </c>
      <c r="F96" s="479" t="s">
        <v>1880</v>
      </c>
      <c r="G96" s="64">
        <v>200000</v>
      </c>
      <c r="H96" s="64">
        <v>15000000</v>
      </c>
      <c r="I96" s="64">
        <f t="shared" si="4"/>
        <v>180000000</v>
      </c>
      <c r="J96" s="479" t="s">
        <v>142</v>
      </c>
      <c r="K96" s="380" t="s">
        <v>2443</v>
      </c>
      <c r="L96" s="479" t="s">
        <v>2720</v>
      </c>
      <c r="M96" s="479" t="s">
        <v>1873</v>
      </c>
      <c r="N96" s="479" t="s">
        <v>84</v>
      </c>
      <c r="O96" s="479"/>
      <c r="P96" s="519" t="s">
        <v>2557</v>
      </c>
      <c r="Q96" s="519"/>
      <c r="R96" s="519"/>
      <c r="S96" s="9"/>
    </row>
    <row r="97" spans="1:19" ht="13.5" customHeight="1">
      <c r="A97" s="15"/>
      <c r="B97" s="336">
        <v>46113</v>
      </c>
      <c r="C97" s="369" t="s">
        <v>2444</v>
      </c>
      <c r="D97" s="104" t="s">
        <v>2738</v>
      </c>
      <c r="E97" s="19">
        <v>30</v>
      </c>
      <c r="F97" s="104" t="s">
        <v>1883</v>
      </c>
      <c r="G97" s="64">
        <v>200000</v>
      </c>
      <c r="H97" s="19">
        <v>3000000</v>
      </c>
      <c r="I97" s="19">
        <f t="shared" si="4"/>
        <v>36000000</v>
      </c>
      <c r="J97" s="104" t="s">
        <v>142</v>
      </c>
      <c r="K97" s="352" t="s">
        <v>2558</v>
      </c>
      <c r="L97" s="104" t="s">
        <v>2192</v>
      </c>
      <c r="M97" s="104" t="s">
        <v>1873</v>
      </c>
      <c r="N97" s="104" t="s">
        <v>84</v>
      </c>
      <c r="O97" s="104"/>
      <c r="P97" s="515" t="s">
        <v>2559</v>
      </c>
      <c r="Q97" s="515"/>
      <c r="R97" s="515"/>
      <c r="S97" s="9"/>
    </row>
    <row r="98" spans="1:19" ht="13.5" customHeight="1">
      <c r="A98" s="15"/>
      <c r="B98" s="336">
        <v>46113</v>
      </c>
      <c r="C98" s="369" t="s">
        <v>2718</v>
      </c>
      <c r="D98" s="104" t="s">
        <v>2721</v>
      </c>
      <c r="E98" s="19">
        <v>36</v>
      </c>
      <c r="F98" s="104" t="s">
        <v>1883</v>
      </c>
      <c r="G98" s="64">
        <v>200000</v>
      </c>
      <c r="H98" s="19">
        <v>4000000</v>
      </c>
      <c r="I98" s="19">
        <f t="shared" si="4"/>
        <v>48000000</v>
      </c>
      <c r="J98" s="104" t="s">
        <v>142</v>
      </c>
      <c r="K98" s="352" t="s">
        <v>2722</v>
      </c>
      <c r="L98" s="104" t="s">
        <v>2145</v>
      </c>
      <c r="M98" s="104" t="s">
        <v>1873</v>
      </c>
      <c r="N98" s="104" t="s">
        <v>84</v>
      </c>
      <c r="O98" s="104" t="s">
        <v>171</v>
      </c>
      <c r="P98" s="515" t="s">
        <v>2810</v>
      </c>
      <c r="Q98" s="515"/>
      <c r="R98" s="515"/>
      <c r="S98" s="9"/>
    </row>
    <row r="99" spans="1:19" ht="13.5" customHeight="1">
      <c r="A99" s="15"/>
      <c r="B99" s="336">
        <v>46113</v>
      </c>
      <c r="C99" s="369" t="s">
        <v>2656</v>
      </c>
      <c r="D99" s="104" t="s">
        <v>2723</v>
      </c>
      <c r="E99" s="19">
        <v>4</v>
      </c>
      <c r="F99" s="104" t="s">
        <v>1879</v>
      </c>
      <c r="G99" s="64">
        <v>200000</v>
      </c>
      <c r="H99" s="19">
        <v>400000</v>
      </c>
      <c r="I99" s="19">
        <f t="shared" si="4"/>
        <v>4800000</v>
      </c>
      <c r="J99" s="104" t="s">
        <v>142</v>
      </c>
      <c r="K99" s="352" t="s">
        <v>2724</v>
      </c>
      <c r="L99" s="104" t="s">
        <v>1938</v>
      </c>
      <c r="M99" s="104" t="s">
        <v>1873</v>
      </c>
      <c r="N99" s="104" t="s">
        <v>84</v>
      </c>
      <c r="O99" s="104"/>
      <c r="P99" s="515" t="s">
        <v>2176</v>
      </c>
      <c r="Q99" s="515"/>
      <c r="R99" s="515"/>
      <c r="S99" s="9"/>
    </row>
    <row r="100" spans="1:19" ht="13.5" customHeight="1">
      <c r="A100" s="15"/>
      <c r="B100" s="336">
        <v>46113</v>
      </c>
      <c r="C100" s="369" t="s">
        <v>2322</v>
      </c>
      <c r="D100" s="104" t="s">
        <v>2725</v>
      </c>
      <c r="E100" s="19">
        <v>37</v>
      </c>
      <c r="F100" s="104" t="s">
        <v>1879</v>
      </c>
      <c r="G100" s="64">
        <v>200000</v>
      </c>
      <c r="H100" s="19">
        <v>2600000</v>
      </c>
      <c r="I100" s="19">
        <f t="shared" si="4"/>
        <v>31200000</v>
      </c>
      <c r="J100" s="104" t="s">
        <v>142</v>
      </c>
      <c r="K100" s="352" t="s">
        <v>2722</v>
      </c>
      <c r="L100" s="104" t="s">
        <v>1938</v>
      </c>
      <c r="M100" s="104" t="s">
        <v>1873</v>
      </c>
      <c r="N100" s="104" t="s">
        <v>84</v>
      </c>
      <c r="O100" s="104"/>
      <c r="P100" s="515" t="s">
        <v>2413</v>
      </c>
      <c r="Q100" s="515"/>
      <c r="R100" s="515"/>
      <c r="S100" s="9"/>
    </row>
    <row r="101" spans="1:19" ht="13.5" customHeight="1">
      <c r="A101" s="15"/>
      <c r="B101" s="336">
        <v>46113</v>
      </c>
      <c r="C101" s="369" t="s">
        <v>2717</v>
      </c>
      <c r="D101" s="104" t="s">
        <v>2726</v>
      </c>
      <c r="E101" s="19">
        <v>15</v>
      </c>
      <c r="F101" s="104" t="s">
        <v>1879</v>
      </c>
      <c r="G101" s="64">
        <v>200000</v>
      </c>
      <c r="H101" s="19">
        <v>3000000</v>
      </c>
      <c r="I101" s="19">
        <f t="shared" si="4"/>
        <v>36000000</v>
      </c>
      <c r="J101" s="104" t="s">
        <v>142</v>
      </c>
      <c r="K101" s="352" t="s">
        <v>784</v>
      </c>
      <c r="L101" s="104" t="s">
        <v>2727</v>
      </c>
      <c r="M101" s="104" t="s">
        <v>1873</v>
      </c>
      <c r="N101" s="104" t="s">
        <v>84</v>
      </c>
      <c r="O101" s="104"/>
      <c r="P101" s="515" t="s">
        <v>2183</v>
      </c>
      <c r="Q101" s="515"/>
      <c r="R101" s="515"/>
      <c r="S101" s="9"/>
    </row>
    <row r="102" spans="1:19" ht="13.5" customHeight="1">
      <c r="A102" s="15"/>
      <c r="B102" s="336">
        <v>46113</v>
      </c>
      <c r="C102" s="369" t="s">
        <v>2728</v>
      </c>
      <c r="D102" s="104" t="s">
        <v>2729</v>
      </c>
      <c r="E102" s="19">
        <v>4</v>
      </c>
      <c r="F102" s="104" t="s">
        <v>1879</v>
      </c>
      <c r="G102" s="64">
        <v>200000</v>
      </c>
      <c r="H102" s="19">
        <v>600000</v>
      </c>
      <c r="I102" s="19">
        <f t="shared" si="4"/>
        <v>7200000</v>
      </c>
      <c r="J102" s="104" t="s">
        <v>142</v>
      </c>
      <c r="K102" s="352" t="s">
        <v>2730</v>
      </c>
      <c r="L102" s="104" t="s">
        <v>2239</v>
      </c>
      <c r="M102" s="104" t="s">
        <v>1873</v>
      </c>
      <c r="N102" s="104" t="s">
        <v>84</v>
      </c>
      <c r="O102" s="104"/>
      <c r="P102" s="515" t="s">
        <v>2811</v>
      </c>
      <c r="Q102" s="515"/>
      <c r="R102" s="515"/>
      <c r="S102" s="9"/>
    </row>
    <row r="103" spans="1:19" ht="13.5" customHeight="1">
      <c r="A103" s="15"/>
      <c r="B103" s="336">
        <v>46113</v>
      </c>
      <c r="C103" s="369" t="s">
        <v>2809</v>
      </c>
      <c r="D103" s="104" t="s">
        <v>2731</v>
      </c>
      <c r="E103" s="19">
        <v>18</v>
      </c>
      <c r="F103" s="104" t="s">
        <v>1880</v>
      </c>
      <c r="G103" s="64">
        <v>200000</v>
      </c>
      <c r="H103" s="19">
        <v>300000</v>
      </c>
      <c r="I103" s="19">
        <f t="shared" si="4"/>
        <v>3600000</v>
      </c>
      <c r="J103" s="104" t="s">
        <v>142</v>
      </c>
      <c r="K103" s="352" t="s">
        <v>2732</v>
      </c>
      <c r="L103" s="104" t="s">
        <v>1899</v>
      </c>
      <c r="M103" s="104" t="s">
        <v>1873</v>
      </c>
      <c r="N103" s="104" t="s">
        <v>84</v>
      </c>
      <c r="O103" s="104"/>
      <c r="P103" s="515" t="s">
        <v>2402</v>
      </c>
      <c r="Q103" s="515"/>
      <c r="R103" s="515"/>
      <c r="S103" s="9"/>
    </row>
    <row r="104" spans="1:19" ht="13.5" customHeight="1">
      <c r="A104" s="15"/>
      <c r="B104" s="336">
        <v>46113</v>
      </c>
      <c r="C104" s="369" t="s">
        <v>2739</v>
      </c>
      <c r="D104" s="104" t="s">
        <v>2740</v>
      </c>
      <c r="E104" s="19">
        <v>30</v>
      </c>
      <c r="F104" s="104" t="s">
        <v>1879</v>
      </c>
      <c r="G104" s="64">
        <v>200000</v>
      </c>
      <c r="H104" s="19">
        <v>3000000</v>
      </c>
      <c r="I104" s="19">
        <f t="shared" si="4"/>
        <v>36000000</v>
      </c>
      <c r="J104" s="104" t="s">
        <v>142</v>
      </c>
      <c r="K104" s="352" t="s">
        <v>2191</v>
      </c>
      <c r="L104" s="104" t="s">
        <v>2192</v>
      </c>
      <c r="M104" s="104" t="s">
        <v>1873</v>
      </c>
      <c r="N104" s="104" t="s">
        <v>84</v>
      </c>
      <c r="O104" s="104"/>
      <c r="P104" s="515" t="s">
        <v>2176</v>
      </c>
      <c r="Q104" s="515"/>
      <c r="R104" s="515"/>
      <c r="S104" s="9"/>
    </row>
    <row r="105" spans="1:19" ht="13.5" customHeight="1">
      <c r="A105" s="15"/>
      <c r="B105" s="336">
        <v>46118</v>
      </c>
      <c r="C105" s="369" t="s">
        <v>2741</v>
      </c>
      <c r="D105" s="104" t="s">
        <v>2742</v>
      </c>
      <c r="E105" s="19">
        <v>35</v>
      </c>
      <c r="F105" s="104" t="s">
        <v>1879</v>
      </c>
      <c r="G105" s="64"/>
      <c r="H105" s="19">
        <v>833300</v>
      </c>
      <c r="I105" s="19">
        <f t="shared" si="4"/>
        <v>9999600</v>
      </c>
      <c r="J105" s="104" t="s">
        <v>142</v>
      </c>
      <c r="K105" s="352" t="s">
        <v>2191</v>
      </c>
      <c r="L105" s="104" t="s">
        <v>2192</v>
      </c>
      <c r="M105" s="104" t="s">
        <v>1873</v>
      </c>
      <c r="N105" s="104" t="s">
        <v>84</v>
      </c>
      <c r="O105" s="104"/>
      <c r="P105" s="515" t="s">
        <v>2176</v>
      </c>
      <c r="Q105" s="515"/>
      <c r="R105" s="515"/>
      <c r="S105" s="9"/>
    </row>
    <row r="106" spans="1:19" ht="13.5" customHeight="1">
      <c r="A106" s="15"/>
      <c r="B106" s="336">
        <v>46118</v>
      </c>
      <c r="C106" s="369" t="s">
        <v>2743</v>
      </c>
      <c r="D106" s="104" t="s">
        <v>2744</v>
      </c>
      <c r="E106" s="19">
        <v>5</v>
      </c>
      <c r="F106" s="104" t="s">
        <v>1879</v>
      </c>
      <c r="G106" s="64">
        <v>200000</v>
      </c>
      <c r="H106" s="19">
        <v>416000</v>
      </c>
      <c r="I106" s="19">
        <f t="shared" si="4"/>
        <v>4992000</v>
      </c>
      <c r="J106" s="104" t="s">
        <v>142</v>
      </c>
      <c r="K106" s="352" t="s">
        <v>1600</v>
      </c>
      <c r="L106" s="104" t="s">
        <v>2918</v>
      </c>
      <c r="M106" s="104" t="s">
        <v>1873</v>
      </c>
      <c r="N106" s="104" t="s">
        <v>84</v>
      </c>
      <c r="O106" s="104"/>
      <c r="P106" s="515" t="s">
        <v>2812</v>
      </c>
      <c r="Q106" s="515"/>
      <c r="R106" s="515"/>
      <c r="S106" s="9"/>
    </row>
    <row r="107" spans="1:19" ht="13.5" customHeight="1">
      <c r="A107" s="469">
        <v>46118</v>
      </c>
      <c r="B107" s="336">
        <v>46118</v>
      </c>
      <c r="C107" s="369" t="s">
        <v>2433</v>
      </c>
      <c r="D107" s="104" t="s">
        <v>2745</v>
      </c>
      <c r="E107" s="19">
        <v>20</v>
      </c>
      <c r="F107" s="104" t="s">
        <v>1879</v>
      </c>
      <c r="G107" s="64">
        <v>200000</v>
      </c>
      <c r="H107" s="19">
        <v>1000000</v>
      </c>
      <c r="I107" s="19">
        <f t="shared" si="4"/>
        <v>12000000</v>
      </c>
      <c r="J107" s="104" t="s">
        <v>142</v>
      </c>
      <c r="K107" s="352" t="s">
        <v>2746</v>
      </c>
      <c r="L107" s="104" t="s">
        <v>2919</v>
      </c>
      <c r="M107" s="104" t="s">
        <v>1873</v>
      </c>
      <c r="N107" s="104" t="s">
        <v>84</v>
      </c>
      <c r="O107" s="104"/>
      <c r="P107" s="515" t="s">
        <v>2540</v>
      </c>
      <c r="Q107" s="515"/>
      <c r="R107" s="515"/>
      <c r="S107" s="9"/>
    </row>
    <row r="108" spans="1:19" ht="13.5" hidden="1" customHeight="1">
      <c r="A108" s="15"/>
      <c r="B108" s="336">
        <v>46113</v>
      </c>
      <c r="C108" s="104" t="s">
        <v>2747</v>
      </c>
      <c r="D108" s="104" t="s">
        <v>2795</v>
      </c>
      <c r="E108" s="19">
        <v>500</v>
      </c>
      <c r="F108" s="104" t="s">
        <v>1880</v>
      </c>
      <c r="G108" s="64">
        <v>200000</v>
      </c>
      <c r="H108" s="19">
        <v>5500000</v>
      </c>
      <c r="I108" s="19">
        <f t="shared" si="4"/>
        <v>66000000</v>
      </c>
      <c r="J108" s="104" t="s">
        <v>141</v>
      </c>
      <c r="K108" s="352" t="s">
        <v>2796</v>
      </c>
      <c r="L108" s="104" t="s">
        <v>2917</v>
      </c>
      <c r="M108" s="104" t="s">
        <v>79</v>
      </c>
      <c r="N108" s="104" t="s">
        <v>115</v>
      </c>
      <c r="O108" s="104"/>
      <c r="P108" s="515" t="s">
        <v>2178</v>
      </c>
      <c r="Q108" s="515"/>
      <c r="R108" s="515"/>
      <c r="S108" s="9"/>
    </row>
    <row r="109" spans="1:19" ht="13.5" hidden="1" customHeight="1">
      <c r="A109" s="15"/>
      <c r="B109" s="336">
        <v>46113</v>
      </c>
      <c r="C109" s="104" t="s">
        <v>2797</v>
      </c>
      <c r="D109" s="104" t="s">
        <v>2798</v>
      </c>
      <c r="E109" s="19">
        <v>35</v>
      </c>
      <c r="F109" s="104" t="s">
        <v>1880</v>
      </c>
      <c r="G109" s="64"/>
      <c r="H109" s="19">
        <v>5000000</v>
      </c>
      <c r="I109" s="19">
        <f t="shared" si="4"/>
        <v>60000000</v>
      </c>
      <c r="J109" s="104" t="s">
        <v>141</v>
      </c>
      <c r="K109" s="352" t="s">
        <v>1921</v>
      </c>
      <c r="L109" s="104" t="s">
        <v>170</v>
      </c>
      <c r="M109" s="104" t="s">
        <v>79</v>
      </c>
      <c r="N109" s="104" t="s">
        <v>115</v>
      </c>
      <c r="O109" s="104"/>
      <c r="P109" s="515" t="s">
        <v>2178</v>
      </c>
      <c r="Q109" s="515"/>
      <c r="R109" s="515"/>
      <c r="S109" s="9"/>
    </row>
    <row r="110" spans="1:19" ht="13.5" hidden="1" customHeight="1">
      <c r="A110" s="15"/>
      <c r="B110" s="336">
        <v>46113</v>
      </c>
      <c r="C110" s="104" t="s">
        <v>2799</v>
      </c>
      <c r="D110" s="104" t="s">
        <v>2794</v>
      </c>
      <c r="E110" s="19">
        <v>36</v>
      </c>
      <c r="F110" s="104" t="s">
        <v>1880</v>
      </c>
      <c r="G110" s="64"/>
      <c r="H110" s="19">
        <v>5000000</v>
      </c>
      <c r="I110" s="19">
        <f t="shared" si="4"/>
        <v>60000000</v>
      </c>
      <c r="J110" s="104" t="s">
        <v>141</v>
      </c>
      <c r="K110" s="352" t="s">
        <v>2800</v>
      </c>
      <c r="L110" s="104" t="s">
        <v>1892</v>
      </c>
      <c r="M110" s="104" t="s">
        <v>1873</v>
      </c>
      <c r="N110" s="104" t="s">
        <v>115</v>
      </c>
      <c r="O110" s="104"/>
      <c r="P110" s="515" t="s">
        <v>2531</v>
      </c>
      <c r="Q110" s="515"/>
      <c r="R110" s="515"/>
      <c r="S110" s="9"/>
    </row>
    <row r="111" spans="1:19" ht="13.5" hidden="1" customHeight="1">
      <c r="A111" s="15"/>
      <c r="B111" s="336">
        <v>46113</v>
      </c>
      <c r="C111" s="104" t="s">
        <v>2801</v>
      </c>
      <c r="D111" s="104" t="s">
        <v>2793</v>
      </c>
      <c r="E111" s="19">
        <v>0</v>
      </c>
      <c r="F111" s="104" t="s">
        <v>1883</v>
      </c>
      <c r="G111" s="64">
        <v>200000</v>
      </c>
      <c r="H111" s="19">
        <v>5000000</v>
      </c>
      <c r="I111" s="19">
        <f t="shared" si="4"/>
        <v>60000000</v>
      </c>
      <c r="J111" s="104" t="s">
        <v>142</v>
      </c>
      <c r="K111" s="352" t="s">
        <v>1921</v>
      </c>
      <c r="L111" s="104" t="s">
        <v>1938</v>
      </c>
      <c r="M111" s="104" t="s">
        <v>1873</v>
      </c>
      <c r="N111" s="104" t="s">
        <v>115</v>
      </c>
      <c r="O111" s="104"/>
      <c r="P111" s="515" t="s">
        <v>2175</v>
      </c>
      <c r="Q111" s="515"/>
      <c r="R111" s="515"/>
      <c r="S111" s="9"/>
    </row>
    <row r="112" spans="1:19" ht="13.5" hidden="1" customHeight="1">
      <c r="A112" s="15"/>
      <c r="B112" s="336">
        <v>46113</v>
      </c>
      <c r="C112" s="104" t="s">
        <v>2748</v>
      </c>
      <c r="D112" s="104" t="s">
        <v>2802</v>
      </c>
      <c r="E112" s="19">
        <v>0</v>
      </c>
      <c r="F112" s="104" t="s">
        <v>1880</v>
      </c>
      <c r="G112" s="64">
        <v>200000</v>
      </c>
      <c r="H112" s="19">
        <v>5000000</v>
      </c>
      <c r="I112" s="19">
        <f t="shared" si="4"/>
        <v>60000000</v>
      </c>
      <c r="J112" s="104" t="s">
        <v>142</v>
      </c>
      <c r="K112" s="352" t="s">
        <v>1921</v>
      </c>
      <c r="L112" s="104" t="s">
        <v>2192</v>
      </c>
      <c r="M112" s="104" t="s">
        <v>1873</v>
      </c>
      <c r="N112" s="104" t="s">
        <v>115</v>
      </c>
      <c r="O112" s="104"/>
      <c r="P112" s="515" t="s">
        <v>2175</v>
      </c>
      <c r="Q112" s="515"/>
      <c r="R112" s="515"/>
      <c r="S112" s="9"/>
    </row>
    <row r="113" spans="1:19" ht="13.5" hidden="1" customHeight="1">
      <c r="A113" s="15"/>
      <c r="B113" s="336">
        <v>46113</v>
      </c>
      <c r="C113" s="104" t="s">
        <v>2719</v>
      </c>
      <c r="D113" s="104" t="s">
        <v>2803</v>
      </c>
      <c r="E113" s="19">
        <v>400</v>
      </c>
      <c r="F113" s="104" t="s">
        <v>1880</v>
      </c>
      <c r="G113" s="64"/>
      <c r="H113" s="19">
        <v>30000000</v>
      </c>
      <c r="I113" s="19">
        <f t="shared" si="4"/>
        <v>360000000</v>
      </c>
      <c r="J113" s="104" t="s">
        <v>141</v>
      </c>
      <c r="K113" s="352" t="s">
        <v>2732</v>
      </c>
      <c r="L113" s="104" t="s">
        <v>2145</v>
      </c>
      <c r="M113" s="104" t="s">
        <v>1873</v>
      </c>
      <c r="N113" s="104" t="s">
        <v>115</v>
      </c>
      <c r="O113" s="104"/>
      <c r="P113" s="515" t="s">
        <v>2184</v>
      </c>
      <c r="Q113" s="515"/>
      <c r="R113" s="515"/>
      <c r="S113" s="9"/>
    </row>
    <row r="114" spans="1:19" ht="13.5" hidden="1" customHeight="1">
      <c r="A114" s="15"/>
      <c r="B114" s="336">
        <v>46118</v>
      </c>
      <c r="C114" s="104" t="s">
        <v>2804</v>
      </c>
      <c r="D114" s="491" t="s">
        <v>81</v>
      </c>
      <c r="E114" s="19">
        <v>0</v>
      </c>
      <c r="F114" s="104" t="s">
        <v>1895</v>
      </c>
      <c r="G114" s="64"/>
      <c r="H114" s="64">
        <v>10000000</v>
      </c>
      <c r="I114" s="19">
        <f t="shared" si="4"/>
        <v>120000000</v>
      </c>
      <c r="J114" s="104" t="s">
        <v>141</v>
      </c>
      <c r="K114" s="352" t="s">
        <v>2796</v>
      </c>
      <c r="L114" s="104" t="s">
        <v>79</v>
      </c>
      <c r="M114" s="104" t="s">
        <v>79</v>
      </c>
      <c r="N114" s="104" t="s">
        <v>115</v>
      </c>
      <c r="O114" s="104"/>
      <c r="P114" s="515"/>
      <c r="Q114" s="515"/>
      <c r="R114" s="515"/>
      <c r="S114" s="9"/>
    </row>
    <row r="115" spans="1:19" ht="13.5" hidden="1" customHeight="1">
      <c r="A115" s="15"/>
      <c r="B115" s="336">
        <v>46119</v>
      </c>
      <c r="C115" s="104" t="s">
        <v>2805</v>
      </c>
      <c r="D115" s="104" t="s">
        <v>2806</v>
      </c>
      <c r="E115" s="19"/>
      <c r="F115" s="104" t="s">
        <v>1895</v>
      </c>
      <c r="G115" s="64">
        <v>200000</v>
      </c>
      <c r="H115" s="19">
        <v>2000000</v>
      </c>
      <c r="I115" s="19">
        <f t="shared" si="4"/>
        <v>24000000</v>
      </c>
      <c r="J115" s="104" t="s">
        <v>141</v>
      </c>
      <c r="K115" s="352" t="s">
        <v>2796</v>
      </c>
      <c r="L115" s="104" t="s">
        <v>170</v>
      </c>
      <c r="M115" s="104" t="s">
        <v>79</v>
      </c>
      <c r="N115" s="104" t="s">
        <v>115</v>
      </c>
      <c r="O115" s="104"/>
      <c r="P115" s="515"/>
      <c r="Q115" s="515"/>
      <c r="R115" s="515"/>
      <c r="S115" s="9"/>
    </row>
    <row r="116" spans="1:19" ht="13.5" hidden="1" customHeight="1">
      <c r="A116" s="15"/>
      <c r="B116" s="336">
        <v>46125</v>
      </c>
      <c r="C116" s="104" t="s">
        <v>2807</v>
      </c>
      <c r="D116" s="104" t="s">
        <v>2808</v>
      </c>
      <c r="E116" s="19">
        <v>207</v>
      </c>
      <c r="F116" s="104" t="s">
        <v>1883</v>
      </c>
      <c r="G116" s="64"/>
      <c r="H116" s="19">
        <v>41400000</v>
      </c>
      <c r="I116" s="19">
        <f t="shared" si="4"/>
        <v>496800000</v>
      </c>
      <c r="J116" s="104" t="s">
        <v>141</v>
      </c>
      <c r="K116" s="352" t="s">
        <v>1893</v>
      </c>
      <c r="L116" s="104" t="s">
        <v>170</v>
      </c>
      <c r="M116" s="104" t="s">
        <v>79</v>
      </c>
      <c r="N116" s="104" t="s">
        <v>115</v>
      </c>
      <c r="O116" s="104"/>
      <c r="P116" s="515" t="s">
        <v>2813</v>
      </c>
      <c r="Q116" s="515"/>
      <c r="R116" s="515"/>
      <c r="S116" s="9"/>
    </row>
    <row r="117" spans="1:19" ht="13.5" hidden="1" customHeight="1">
      <c r="B117" s="486">
        <v>46128</v>
      </c>
      <c r="C117" s="495" t="s">
        <v>2909</v>
      </c>
      <c r="D117" s="487" t="s">
        <v>2910</v>
      </c>
      <c r="E117" s="19">
        <v>0</v>
      </c>
      <c r="F117" s="487" t="s">
        <v>1895</v>
      </c>
      <c r="G117" s="19"/>
      <c r="H117" s="103">
        <v>2000000</v>
      </c>
      <c r="I117" s="19">
        <f t="shared" si="4"/>
        <v>24000000</v>
      </c>
      <c r="J117" s="487" t="s">
        <v>141</v>
      </c>
      <c r="K117" s="488" t="s">
        <v>2796</v>
      </c>
      <c r="L117" s="487" t="s">
        <v>79</v>
      </c>
      <c r="M117" s="487" t="s">
        <v>79</v>
      </c>
      <c r="N117" s="487" t="s">
        <v>115</v>
      </c>
      <c r="O117" s="487"/>
      <c r="P117" s="515"/>
      <c r="Q117" s="515"/>
      <c r="R117" s="515"/>
    </row>
    <row r="118" spans="1:19" ht="13.5" customHeight="1">
      <c r="B118" s="336">
        <v>46127</v>
      </c>
      <c r="C118" s="369" t="s">
        <v>2667</v>
      </c>
      <c r="D118" s="104" t="s">
        <v>2814</v>
      </c>
      <c r="E118" s="19">
        <v>50</v>
      </c>
      <c r="F118" s="104" t="s">
        <v>1879</v>
      </c>
      <c r="G118" s="64">
        <v>200000</v>
      </c>
      <c r="H118" s="19">
        <v>1500000</v>
      </c>
      <c r="I118" s="19">
        <f t="shared" si="4"/>
        <v>18000000</v>
      </c>
      <c r="J118" s="104" t="s">
        <v>142</v>
      </c>
      <c r="K118" s="352" t="s">
        <v>2815</v>
      </c>
      <c r="L118" s="104" t="s">
        <v>2816</v>
      </c>
      <c r="M118" s="104" t="s">
        <v>1873</v>
      </c>
      <c r="N118" s="104" t="s">
        <v>84</v>
      </c>
      <c r="O118" s="104"/>
      <c r="P118" s="515" t="s">
        <v>2817</v>
      </c>
      <c r="Q118" s="515"/>
      <c r="R118" s="515"/>
    </row>
    <row r="119" spans="1:19" ht="13.5" customHeight="1">
      <c r="B119" s="336">
        <v>46132</v>
      </c>
      <c r="C119" s="369" t="s">
        <v>2899</v>
      </c>
      <c r="D119" s="104" t="s">
        <v>2902</v>
      </c>
      <c r="E119" s="19">
        <v>34</v>
      </c>
      <c r="F119" s="104" t="s">
        <v>1879</v>
      </c>
      <c r="G119" s="64"/>
      <c r="H119" s="19">
        <v>4250000</v>
      </c>
      <c r="I119" s="19">
        <f t="shared" si="4"/>
        <v>51000000</v>
      </c>
      <c r="J119" s="104" t="s">
        <v>141</v>
      </c>
      <c r="K119" s="352" t="s">
        <v>1602</v>
      </c>
      <c r="L119" s="104" t="s">
        <v>1938</v>
      </c>
      <c r="M119" s="104" t="s">
        <v>1873</v>
      </c>
      <c r="N119" s="104" t="s">
        <v>84</v>
      </c>
      <c r="O119" s="104"/>
      <c r="P119" s="515" t="s">
        <v>2555</v>
      </c>
      <c r="Q119" s="515"/>
      <c r="R119" s="515"/>
    </row>
    <row r="120" spans="1:19" ht="13.5" customHeight="1">
      <c r="B120" s="336">
        <v>46132</v>
      </c>
      <c r="C120" s="369" t="s">
        <v>2898</v>
      </c>
      <c r="D120" s="104" t="s">
        <v>2901</v>
      </c>
      <c r="E120" s="19">
        <v>11</v>
      </c>
      <c r="F120" s="104" t="s">
        <v>1879</v>
      </c>
      <c r="G120" s="64">
        <v>200000</v>
      </c>
      <c r="H120" s="19">
        <v>550000</v>
      </c>
      <c r="I120" s="19">
        <f t="shared" si="4"/>
        <v>6600000</v>
      </c>
      <c r="J120" s="104" t="s">
        <v>142</v>
      </c>
      <c r="K120" s="352" t="s">
        <v>2920</v>
      </c>
      <c r="L120" s="104" t="s">
        <v>2921</v>
      </c>
      <c r="M120" s="104" t="s">
        <v>1873</v>
      </c>
      <c r="N120" s="104" t="s">
        <v>84</v>
      </c>
      <c r="O120" s="104"/>
      <c r="P120" s="515" t="s">
        <v>2177</v>
      </c>
      <c r="Q120" s="515"/>
      <c r="R120" s="515"/>
    </row>
    <row r="121" spans="1:19" ht="13.5" customHeight="1">
      <c r="B121" s="336">
        <v>46132</v>
      </c>
      <c r="C121" s="369" t="s">
        <v>2907</v>
      </c>
      <c r="D121" s="104" t="s">
        <v>2903</v>
      </c>
      <c r="E121" s="19">
        <v>150</v>
      </c>
      <c r="F121" s="104" t="s">
        <v>1880</v>
      </c>
      <c r="G121" s="19"/>
      <c r="H121" s="19">
        <v>30000000</v>
      </c>
      <c r="I121" s="19">
        <f t="shared" si="4"/>
        <v>360000000</v>
      </c>
      <c r="J121" s="104" t="s">
        <v>141</v>
      </c>
      <c r="K121" s="352" t="s">
        <v>1602</v>
      </c>
      <c r="L121" s="104" t="s">
        <v>2192</v>
      </c>
      <c r="M121" s="104" t="s">
        <v>1873</v>
      </c>
      <c r="N121" s="104" t="s">
        <v>84</v>
      </c>
      <c r="O121" s="104"/>
      <c r="P121" s="515" t="s">
        <v>2922</v>
      </c>
      <c r="Q121" s="515"/>
      <c r="R121" s="515"/>
    </row>
    <row r="122" spans="1:19" ht="13.5" customHeight="1">
      <c r="B122" s="484">
        <v>46134</v>
      </c>
      <c r="C122" s="496" t="s">
        <v>2915</v>
      </c>
      <c r="D122" s="485" t="s">
        <v>2916</v>
      </c>
      <c r="E122" s="107">
        <v>16</v>
      </c>
      <c r="F122" s="485" t="s">
        <v>1880</v>
      </c>
      <c r="G122" s="107">
        <v>200000</v>
      </c>
      <c r="H122" s="107">
        <v>1000000</v>
      </c>
      <c r="I122" s="19">
        <f t="shared" si="4"/>
        <v>12000000</v>
      </c>
      <c r="J122" s="485" t="s">
        <v>141</v>
      </c>
      <c r="K122" s="352" t="s">
        <v>1602</v>
      </c>
      <c r="L122" s="485" t="s">
        <v>1892</v>
      </c>
      <c r="M122" s="485" t="s">
        <v>1873</v>
      </c>
      <c r="N122" s="485" t="s">
        <v>84</v>
      </c>
      <c r="O122" s="485"/>
      <c r="P122" s="515" t="s">
        <v>2923</v>
      </c>
      <c r="Q122" s="515"/>
      <c r="R122" s="515"/>
    </row>
    <row r="123" spans="1:19" ht="13.5" customHeight="1" thickBot="1">
      <c r="B123" s="382">
        <v>46139</v>
      </c>
      <c r="C123" s="383" t="s">
        <v>2379</v>
      </c>
      <c r="D123" s="384" t="s">
        <v>2911</v>
      </c>
      <c r="E123" s="88">
        <v>10</v>
      </c>
      <c r="F123" s="384" t="s">
        <v>1879</v>
      </c>
      <c r="G123" s="88">
        <v>200000</v>
      </c>
      <c r="H123" s="88">
        <v>400000</v>
      </c>
      <c r="I123" s="88">
        <f t="shared" si="4"/>
        <v>4800000</v>
      </c>
      <c r="J123" s="384" t="s">
        <v>142</v>
      </c>
      <c r="K123" s="385" t="s">
        <v>2913</v>
      </c>
      <c r="L123" s="384" t="s">
        <v>2914</v>
      </c>
      <c r="M123" s="384" t="s">
        <v>1873</v>
      </c>
      <c r="N123" s="384" t="s">
        <v>84</v>
      </c>
      <c r="O123" s="384"/>
      <c r="P123" s="520" t="s">
        <v>2532</v>
      </c>
      <c r="Q123" s="520"/>
      <c r="R123" s="520"/>
    </row>
    <row r="124" spans="1:19" ht="13.5" customHeight="1" thickTop="1">
      <c r="B124" s="379">
        <v>46143</v>
      </c>
      <c r="C124" s="479" t="s">
        <v>2582</v>
      </c>
      <c r="D124" s="479" t="s">
        <v>2904</v>
      </c>
      <c r="E124" s="64">
        <v>100</v>
      </c>
      <c r="F124" s="479" t="s">
        <v>1880</v>
      </c>
      <c r="G124" s="64">
        <v>200000</v>
      </c>
      <c r="H124" s="64">
        <v>20000000</v>
      </c>
      <c r="I124" s="19">
        <f t="shared" si="4"/>
        <v>240000000</v>
      </c>
      <c r="J124" s="479" t="s">
        <v>142</v>
      </c>
      <c r="K124" s="380"/>
      <c r="L124" s="479" t="s">
        <v>2720</v>
      </c>
      <c r="M124" s="479" t="s">
        <v>1873</v>
      </c>
      <c r="N124" s="479" t="s">
        <v>84</v>
      </c>
      <c r="O124" s="479"/>
      <c r="P124" s="519"/>
      <c r="Q124" s="519"/>
      <c r="R124" s="519"/>
    </row>
    <row r="125" spans="1:19" ht="13.5" customHeight="1">
      <c r="B125" s="379">
        <v>46143</v>
      </c>
      <c r="C125" s="460" t="s">
        <v>2925</v>
      </c>
      <c r="D125" s="479" t="s">
        <v>2926</v>
      </c>
      <c r="E125" s="64">
        <v>10</v>
      </c>
      <c r="F125" s="479" t="s">
        <v>1880</v>
      </c>
      <c r="G125" s="64">
        <v>200000</v>
      </c>
      <c r="H125" s="64">
        <v>1000000</v>
      </c>
      <c r="I125" s="19">
        <f t="shared" si="4"/>
        <v>12000000</v>
      </c>
      <c r="J125" s="479" t="s">
        <v>142</v>
      </c>
      <c r="K125" s="380"/>
      <c r="L125" s="479" t="s">
        <v>2422</v>
      </c>
      <c r="M125" s="479" t="s">
        <v>1873</v>
      </c>
      <c r="N125" s="479" t="s">
        <v>84</v>
      </c>
      <c r="O125" s="479"/>
      <c r="P125" s="515" t="s">
        <v>2927</v>
      </c>
      <c r="Q125" s="515"/>
      <c r="R125" s="515"/>
    </row>
    <row r="126" spans="1:19" ht="13.5" hidden="1" customHeight="1">
      <c r="B126" s="379">
        <v>46143</v>
      </c>
      <c r="C126" s="460" t="s">
        <v>2949</v>
      </c>
      <c r="D126" s="479"/>
      <c r="E126" s="64">
        <v>5</v>
      </c>
      <c r="F126" s="479" t="s">
        <v>1883</v>
      </c>
      <c r="G126" s="64"/>
      <c r="H126" s="64">
        <v>1000000</v>
      </c>
      <c r="I126" s="19">
        <f t="shared" si="4"/>
        <v>12000000</v>
      </c>
      <c r="J126" s="104" t="s">
        <v>141</v>
      </c>
      <c r="K126" s="380"/>
      <c r="L126" s="479" t="s">
        <v>79</v>
      </c>
      <c r="M126" s="479" t="s">
        <v>79</v>
      </c>
      <c r="N126" s="479" t="s">
        <v>115</v>
      </c>
      <c r="O126" s="479"/>
      <c r="P126" s="515"/>
      <c r="Q126" s="515"/>
      <c r="R126" s="515"/>
    </row>
    <row r="127" spans="1:19" ht="13.5" hidden="1" customHeight="1">
      <c r="B127" s="379">
        <v>46143</v>
      </c>
      <c r="C127" s="460" t="s">
        <v>2950</v>
      </c>
      <c r="D127" s="479"/>
      <c r="E127" s="64">
        <v>30</v>
      </c>
      <c r="F127" s="479" t="s">
        <v>1883</v>
      </c>
      <c r="G127" s="64"/>
      <c r="H127" s="64">
        <v>4000000</v>
      </c>
      <c r="I127" s="19">
        <f t="shared" si="4"/>
        <v>48000000</v>
      </c>
      <c r="J127" s="479" t="s">
        <v>141</v>
      </c>
      <c r="K127" s="380"/>
      <c r="L127" s="479" t="s">
        <v>79</v>
      </c>
      <c r="M127" s="479" t="s">
        <v>79</v>
      </c>
      <c r="N127" s="479" t="s">
        <v>115</v>
      </c>
      <c r="O127" s="479"/>
      <c r="P127" s="515"/>
      <c r="Q127" s="515"/>
      <c r="R127" s="515"/>
    </row>
    <row r="128" spans="1:19" ht="13.5" customHeight="1">
      <c r="B128" s="379">
        <v>46146</v>
      </c>
      <c r="C128" s="460" t="s">
        <v>2945</v>
      </c>
      <c r="D128" s="479" t="s">
        <v>2948</v>
      </c>
      <c r="E128" s="64">
        <v>50</v>
      </c>
      <c r="F128" s="479" t="s">
        <v>1883</v>
      </c>
      <c r="G128" s="64">
        <v>200000</v>
      </c>
      <c r="H128" s="64">
        <v>9000000</v>
      </c>
      <c r="I128" s="19">
        <f t="shared" si="4"/>
        <v>108000000</v>
      </c>
      <c r="J128" s="479" t="s">
        <v>142</v>
      </c>
      <c r="K128" s="380"/>
      <c r="L128" s="479" t="s">
        <v>2946</v>
      </c>
      <c r="M128" s="479" t="s">
        <v>1873</v>
      </c>
      <c r="N128" s="479" t="s">
        <v>84</v>
      </c>
      <c r="O128" s="479"/>
      <c r="P128" s="515" t="s">
        <v>2947</v>
      </c>
      <c r="Q128" s="515"/>
      <c r="R128" s="515"/>
    </row>
    <row r="129" spans="2:18" ht="13.5" customHeight="1">
      <c r="B129" s="379">
        <v>46153</v>
      </c>
      <c r="C129" s="492" t="s">
        <v>2961</v>
      </c>
      <c r="D129" s="479" t="s">
        <v>2962</v>
      </c>
      <c r="E129" s="64">
        <v>4</v>
      </c>
      <c r="F129" s="479" t="s">
        <v>1879</v>
      </c>
      <c r="G129" s="64">
        <v>200000</v>
      </c>
      <c r="H129" s="64">
        <v>4000000</v>
      </c>
      <c r="I129" s="19">
        <f t="shared" si="4"/>
        <v>48000000</v>
      </c>
      <c r="J129" s="479" t="s">
        <v>142</v>
      </c>
      <c r="K129" s="380"/>
      <c r="L129" s="479" t="s">
        <v>2918</v>
      </c>
      <c r="M129" s="479" t="s">
        <v>1873</v>
      </c>
      <c r="N129" s="479" t="s">
        <v>84</v>
      </c>
      <c r="O129" s="479"/>
      <c r="P129" s="515" t="s">
        <v>2963</v>
      </c>
      <c r="Q129" s="515"/>
      <c r="R129" s="515"/>
    </row>
    <row r="130" spans="2:18" ht="13.5" customHeight="1">
      <c r="B130" s="379">
        <v>46153</v>
      </c>
      <c r="C130" s="492" t="s">
        <v>2964</v>
      </c>
      <c r="D130" s="479" t="s">
        <v>2965</v>
      </c>
      <c r="E130" s="64">
        <v>15</v>
      </c>
      <c r="F130" s="479" t="s">
        <v>1879</v>
      </c>
      <c r="G130" s="64">
        <v>200000</v>
      </c>
      <c r="H130" s="64">
        <v>3000000</v>
      </c>
      <c r="I130" s="19">
        <f t="shared" si="4"/>
        <v>36000000</v>
      </c>
      <c r="J130" s="479" t="s">
        <v>142</v>
      </c>
      <c r="K130" s="380"/>
      <c r="L130" s="479" t="s">
        <v>2145</v>
      </c>
      <c r="M130" s="479" t="s">
        <v>1873</v>
      </c>
      <c r="N130" s="479" t="s">
        <v>84</v>
      </c>
      <c r="O130" s="479" t="s">
        <v>171</v>
      </c>
      <c r="P130" s="515" t="s">
        <v>2966</v>
      </c>
      <c r="Q130" s="515"/>
      <c r="R130" s="515"/>
    </row>
    <row r="131" spans="2:18" ht="13.5" hidden="1" customHeight="1" thickBot="1">
      <c r="B131" s="382" t="s">
        <v>2951</v>
      </c>
      <c r="C131" s="383" t="s">
        <v>2952</v>
      </c>
      <c r="D131" s="384"/>
      <c r="E131" s="88">
        <v>63</v>
      </c>
      <c r="F131" s="384" t="s">
        <v>1883</v>
      </c>
      <c r="G131" s="88">
        <v>200000</v>
      </c>
      <c r="H131" s="88"/>
      <c r="I131" s="88">
        <f t="shared" si="4"/>
        <v>0</v>
      </c>
      <c r="J131" s="384" t="s">
        <v>141</v>
      </c>
      <c r="K131" s="385"/>
      <c r="L131" s="384" t="s">
        <v>79</v>
      </c>
      <c r="M131" s="384" t="s">
        <v>79</v>
      </c>
      <c r="N131" s="384" t="s">
        <v>115</v>
      </c>
      <c r="O131" s="384"/>
      <c r="P131" s="520"/>
      <c r="Q131" s="520"/>
      <c r="R131" s="520"/>
    </row>
    <row r="132" spans="2:18" ht="13.5" customHeight="1">
      <c r="B132" s="379">
        <v>46174</v>
      </c>
      <c r="C132" s="460" t="s">
        <v>2908</v>
      </c>
      <c r="D132" s="479" t="s">
        <v>2905</v>
      </c>
      <c r="E132" s="64">
        <v>1000</v>
      </c>
      <c r="F132" s="479" t="s">
        <v>1880</v>
      </c>
      <c r="G132" s="64"/>
      <c r="H132" s="64">
        <v>12000000</v>
      </c>
      <c r="I132" s="64">
        <f t="shared" si="4"/>
        <v>144000000</v>
      </c>
      <c r="J132" s="479" t="s">
        <v>142</v>
      </c>
      <c r="K132" s="380"/>
      <c r="L132" s="479" t="s">
        <v>2954</v>
      </c>
      <c r="M132" s="479" t="s">
        <v>1873</v>
      </c>
      <c r="N132" s="479" t="s">
        <v>84</v>
      </c>
      <c r="O132" s="479"/>
      <c r="P132" s="519" t="s">
        <v>2957</v>
      </c>
      <c r="Q132" s="519"/>
      <c r="R132" s="519"/>
    </row>
    <row r="133" spans="2:18" ht="13.5" customHeight="1">
      <c r="B133" s="336">
        <v>46174</v>
      </c>
      <c r="C133" s="369" t="s">
        <v>2900</v>
      </c>
      <c r="D133" s="104" t="s">
        <v>2906</v>
      </c>
      <c r="E133" s="19">
        <v>800</v>
      </c>
      <c r="F133" s="104" t="s">
        <v>1880</v>
      </c>
      <c r="G133" s="64"/>
      <c r="H133" s="19">
        <v>70000000</v>
      </c>
      <c r="I133" s="19">
        <f t="shared" si="4"/>
        <v>840000000</v>
      </c>
      <c r="J133" s="104" t="s">
        <v>142</v>
      </c>
      <c r="K133" s="352"/>
      <c r="L133" s="104" t="s">
        <v>1572</v>
      </c>
      <c r="M133" s="104" t="s">
        <v>1873</v>
      </c>
      <c r="N133" s="104" t="s">
        <v>84</v>
      </c>
      <c r="O133" s="104"/>
      <c r="P133" s="515" t="s">
        <v>2955</v>
      </c>
      <c r="Q133" s="515"/>
      <c r="R133" s="515"/>
    </row>
    <row r="134" spans="2:18" ht="13.5" customHeight="1">
      <c r="B134" s="336">
        <v>46174</v>
      </c>
      <c r="C134" s="348" t="s">
        <v>2819</v>
      </c>
      <c r="D134" s="104" t="s">
        <v>2953</v>
      </c>
      <c r="E134" s="19">
        <v>110</v>
      </c>
      <c r="F134" s="104" t="s">
        <v>1879</v>
      </c>
      <c r="G134" s="64">
        <v>200000</v>
      </c>
      <c r="H134" s="19">
        <v>36660000</v>
      </c>
      <c r="I134" s="19">
        <f t="shared" si="4"/>
        <v>439920000</v>
      </c>
      <c r="J134" s="104" t="s">
        <v>141</v>
      </c>
      <c r="K134" s="352"/>
      <c r="L134" s="104" t="s">
        <v>2192</v>
      </c>
      <c r="M134" s="104" t="s">
        <v>1873</v>
      </c>
      <c r="N134" s="104" t="s">
        <v>84</v>
      </c>
      <c r="O134" s="104"/>
      <c r="P134" s="515" t="s">
        <v>2956</v>
      </c>
      <c r="Q134" s="515"/>
      <c r="R134" s="515"/>
    </row>
    <row r="135" spans="2:18" ht="13.5" customHeight="1">
      <c r="B135" s="336">
        <v>46204</v>
      </c>
      <c r="C135" s="348" t="s">
        <v>2958</v>
      </c>
      <c r="D135" s="104" t="s">
        <v>2959</v>
      </c>
      <c r="E135" s="19">
        <v>40</v>
      </c>
      <c r="F135" s="104" t="s">
        <v>1879</v>
      </c>
      <c r="G135" s="64">
        <v>200000</v>
      </c>
      <c r="H135" s="19">
        <v>2000000</v>
      </c>
      <c r="I135" s="19">
        <f t="shared" si="4"/>
        <v>24000000</v>
      </c>
      <c r="J135" s="104" t="s">
        <v>142</v>
      </c>
      <c r="K135" s="352"/>
      <c r="L135" s="104" t="s">
        <v>2192</v>
      </c>
      <c r="M135" s="104" t="s">
        <v>1873</v>
      </c>
      <c r="N135" s="104" t="s">
        <v>84</v>
      </c>
      <c r="O135" s="104"/>
      <c r="P135" s="515" t="s">
        <v>2960</v>
      </c>
      <c r="Q135" s="515"/>
      <c r="R135" s="515"/>
    </row>
  </sheetData>
  <autoFilter ref="A13:S135" xr:uid="{ED05CED4-556E-420F-BFA5-D9F6D45397B2}">
    <filterColumn colId="13">
      <filters>
        <filter val="이종민"/>
      </filters>
    </filterColumn>
    <filterColumn colId="15" showButton="0"/>
    <filterColumn colId="16" showButton="0"/>
  </autoFilter>
  <mergeCells count="126">
    <mergeCell ref="P121:R121"/>
    <mergeCell ref="P126:R126"/>
    <mergeCell ref="P128:R128"/>
    <mergeCell ref="P131:R131"/>
    <mergeCell ref="P127:R127"/>
    <mergeCell ref="P77:R77"/>
    <mergeCell ref="P75:R75"/>
    <mergeCell ref="P122:R122"/>
    <mergeCell ref="P61:R61"/>
    <mergeCell ref="P69:R69"/>
    <mergeCell ref="P70:R70"/>
    <mergeCell ref="P116:R116"/>
    <mergeCell ref="P103:R103"/>
    <mergeCell ref="P102:R102"/>
    <mergeCell ref="P98:R98"/>
    <mergeCell ref="P113:R113"/>
    <mergeCell ref="P114:R114"/>
    <mergeCell ref="P115:R115"/>
    <mergeCell ref="P99:R99"/>
    <mergeCell ref="P100:R100"/>
    <mergeCell ref="P101:R101"/>
    <mergeCell ref="P105:R105"/>
    <mergeCell ref="P104:R104"/>
    <mergeCell ref="P107:R107"/>
    <mergeCell ref="P109:R109"/>
    <mergeCell ref="P110:R110"/>
    <mergeCell ref="P111:R111"/>
    <mergeCell ref="P108:R108"/>
    <mergeCell ref="P112:R112"/>
    <mergeCell ref="P106:R106"/>
    <mergeCell ref="P64:R64"/>
    <mergeCell ref="P22:R22"/>
    <mergeCell ref="P24:R24"/>
    <mergeCell ref="P25:R25"/>
    <mergeCell ref="P23:R23"/>
    <mergeCell ref="P71:R71"/>
    <mergeCell ref="P72:R72"/>
    <mergeCell ref="P74:R74"/>
    <mergeCell ref="P80:R80"/>
    <mergeCell ref="P56:R56"/>
    <mergeCell ref="P32:R32"/>
    <mergeCell ref="P53:R53"/>
    <mergeCell ref="P54:R54"/>
    <mergeCell ref="P55:R55"/>
    <mergeCell ref="P52:R52"/>
    <mergeCell ref="P44:R44"/>
    <mergeCell ref="P42:R42"/>
    <mergeCell ref="P43:R43"/>
    <mergeCell ref="P38:R38"/>
    <mergeCell ref="P39:R39"/>
    <mergeCell ref="P40:R40"/>
    <mergeCell ref="P41:R41"/>
    <mergeCell ref="P49:R49"/>
    <mergeCell ref="P50:R50"/>
    <mergeCell ref="P124:R124"/>
    <mergeCell ref="P28:R28"/>
    <mergeCell ref="P37:R37"/>
    <mergeCell ref="P17:R17"/>
    <mergeCell ref="P18:R18"/>
    <mergeCell ref="P19:R19"/>
    <mergeCell ref="P20:R20"/>
    <mergeCell ref="P21:R21"/>
    <mergeCell ref="P30:R30"/>
    <mergeCell ref="P51:R51"/>
    <mergeCell ref="P119:R119"/>
    <mergeCell ref="P120:R120"/>
    <mergeCell ref="P34:R34"/>
    <mergeCell ref="P35:R35"/>
    <mergeCell ref="P36:R36"/>
    <mergeCell ref="P26:R26"/>
    <mergeCell ref="P27:R27"/>
    <mergeCell ref="P29:R29"/>
    <mergeCell ref="P31:R31"/>
    <mergeCell ref="P45:R45"/>
    <mergeCell ref="P46:R46"/>
    <mergeCell ref="P47:R47"/>
    <mergeCell ref="P48:R48"/>
    <mergeCell ref="P97:R97"/>
    <mergeCell ref="P76:R76"/>
    <mergeCell ref="P15:R15"/>
    <mergeCell ref="B2:C2"/>
    <mergeCell ref="B3:B7"/>
    <mergeCell ref="B8:B10"/>
    <mergeCell ref="P13:R13"/>
    <mergeCell ref="P14:R14"/>
    <mergeCell ref="P16:R16"/>
    <mergeCell ref="P118:R118"/>
    <mergeCell ref="P95:R95"/>
    <mergeCell ref="P84:R84"/>
    <mergeCell ref="P85:R85"/>
    <mergeCell ref="P86:R86"/>
    <mergeCell ref="P87:R87"/>
    <mergeCell ref="P88:R88"/>
    <mergeCell ref="P89:R89"/>
    <mergeCell ref="P90:R90"/>
    <mergeCell ref="P91:R91"/>
    <mergeCell ref="P73:R73"/>
    <mergeCell ref="P92:R92"/>
    <mergeCell ref="P93:R93"/>
    <mergeCell ref="P57:R57"/>
    <mergeCell ref="P96:R96"/>
    <mergeCell ref="P63:R63"/>
    <mergeCell ref="P134:R134"/>
    <mergeCell ref="P135:R135"/>
    <mergeCell ref="P129:R129"/>
    <mergeCell ref="P130:R130"/>
    <mergeCell ref="P33:R33"/>
    <mergeCell ref="P125:R125"/>
    <mergeCell ref="P94:R94"/>
    <mergeCell ref="P117:R117"/>
    <mergeCell ref="P132:R132"/>
    <mergeCell ref="P133:R133"/>
    <mergeCell ref="P123:R123"/>
    <mergeCell ref="P58:R58"/>
    <mergeCell ref="P59:R59"/>
    <mergeCell ref="P60:R60"/>
    <mergeCell ref="P62:R62"/>
    <mergeCell ref="P67:R67"/>
    <mergeCell ref="P81:R81"/>
    <mergeCell ref="P82:R82"/>
    <mergeCell ref="P83:R83"/>
    <mergeCell ref="P78:R78"/>
    <mergeCell ref="P79:R79"/>
    <mergeCell ref="P65:R65"/>
    <mergeCell ref="P66:R66"/>
    <mergeCell ref="P68:R68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FE65-4E50-4EAF-9400-8C2D9DA8B6FF}">
  <sheetPr>
    <tabColor theme="9" tint="0.79998168889431442"/>
  </sheetPr>
  <dimension ref="A1:R87"/>
  <sheetViews>
    <sheetView topLeftCell="A26" workbookViewId="0">
      <selection activeCell="H80" sqref="H80"/>
    </sheetView>
  </sheetViews>
  <sheetFormatPr defaultColWidth="9" defaultRowHeight="12"/>
  <cols>
    <col min="1" max="1" width="3.5" style="1" customWidth="1"/>
    <col min="2" max="2" width="6.375" style="1" customWidth="1"/>
    <col min="3" max="3" width="14.875" style="1" customWidth="1"/>
    <col min="4" max="4" width="15" style="1" bestFit="1" customWidth="1"/>
    <col min="5" max="5" width="13.875" style="1" bestFit="1" customWidth="1"/>
    <col min="6" max="12" width="12.875" style="1" bestFit="1" customWidth="1"/>
    <col min="13" max="13" width="13.875" style="1" bestFit="1" customWidth="1"/>
    <col min="14" max="16" width="12.875" style="1" bestFit="1" customWidth="1"/>
    <col min="17" max="17" width="15" style="1" customWidth="1"/>
    <col min="18" max="16384" width="9" style="1"/>
  </cols>
  <sheetData>
    <row r="1" spans="1:17" ht="13.5" hidden="1" customHeight="1">
      <c r="B1" s="315" t="s">
        <v>1837</v>
      </c>
      <c r="C1" s="21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 t="s">
        <v>890</v>
      </c>
    </row>
    <row r="2" spans="1:17" ht="13.5" hidden="1" customHeight="1">
      <c r="A2" s="15"/>
      <c r="B2" s="497" t="s">
        <v>1577</v>
      </c>
      <c r="C2" s="500" t="s">
        <v>1578</v>
      </c>
      <c r="D2" s="501"/>
      <c r="E2" s="406" t="s">
        <v>3</v>
      </c>
      <c r="F2" s="406" t="s">
        <v>4</v>
      </c>
      <c r="G2" s="406" t="s">
        <v>5</v>
      </c>
      <c r="H2" s="406" t="s">
        <v>6</v>
      </c>
      <c r="I2" s="406" t="s">
        <v>7</v>
      </c>
      <c r="J2" s="406" t="s">
        <v>8</v>
      </c>
      <c r="K2" s="406" t="s">
        <v>9</v>
      </c>
      <c r="L2" s="406" t="s">
        <v>10</v>
      </c>
      <c r="M2" s="406" t="s">
        <v>11</v>
      </c>
      <c r="N2" s="406" t="s">
        <v>12</v>
      </c>
      <c r="O2" s="406" t="s">
        <v>15</v>
      </c>
      <c r="P2" s="406" t="s">
        <v>16</v>
      </c>
      <c r="Q2" s="406" t="s">
        <v>2</v>
      </c>
    </row>
    <row r="3" spans="1:17" ht="13.5" hidden="1" customHeight="1">
      <c r="A3" s="15"/>
      <c r="B3" s="498"/>
      <c r="C3" s="500" t="s">
        <v>1838</v>
      </c>
      <c r="D3" s="501"/>
      <c r="E3" s="233">
        <v>150000000</v>
      </c>
      <c r="F3" s="233">
        <v>250000000</v>
      </c>
      <c r="G3" s="233">
        <v>250000000</v>
      </c>
      <c r="H3" s="233">
        <v>250000000</v>
      </c>
      <c r="I3" s="233">
        <v>250000000</v>
      </c>
      <c r="J3" s="233">
        <v>300000000</v>
      </c>
      <c r="K3" s="233">
        <v>900000000</v>
      </c>
      <c r="L3" s="233">
        <v>250000000</v>
      </c>
      <c r="M3" s="233">
        <v>250000000</v>
      </c>
      <c r="N3" s="233">
        <v>150000000</v>
      </c>
      <c r="O3" s="233">
        <v>50000000</v>
      </c>
      <c r="P3" s="233">
        <v>200000000</v>
      </c>
      <c r="Q3" s="238">
        <v>3000000000</v>
      </c>
    </row>
    <row r="4" spans="1:17" ht="13.5" hidden="1" customHeight="1">
      <c r="A4" s="15"/>
      <c r="B4" s="498"/>
      <c r="C4" s="500" t="s">
        <v>1839</v>
      </c>
      <c r="D4" s="501"/>
      <c r="E4" s="233">
        <f>E3</f>
        <v>150000000</v>
      </c>
      <c r="F4" s="233">
        <f>E4+F3</f>
        <v>400000000</v>
      </c>
      <c r="G4" s="233">
        <f t="shared" ref="G4:P4" si="0">F4+G3</f>
        <v>650000000</v>
      </c>
      <c r="H4" s="233">
        <f t="shared" si="0"/>
        <v>900000000</v>
      </c>
      <c r="I4" s="233">
        <f t="shared" si="0"/>
        <v>1150000000</v>
      </c>
      <c r="J4" s="233">
        <f t="shared" si="0"/>
        <v>1450000000</v>
      </c>
      <c r="K4" s="233">
        <f t="shared" si="0"/>
        <v>2350000000</v>
      </c>
      <c r="L4" s="233">
        <f t="shared" si="0"/>
        <v>2600000000</v>
      </c>
      <c r="M4" s="233">
        <f t="shared" si="0"/>
        <v>2850000000</v>
      </c>
      <c r="N4" s="233">
        <f t="shared" si="0"/>
        <v>3000000000</v>
      </c>
      <c r="O4" s="233">
        <f t="shared" si="0"/>
        <v>3050000000</v>
      </c>
      <c r="P4" s="233">
        <f t="shared" si="0"/>
        <v>3250000000</v>
      </c>
      <c r="Q4" s="238">
        <f>SUM(E4:P4)</f>
        <v>21800000000</v>
      </c>
    </row>
    <row r="5" spans="1:17" ht="13.5" hidden="1" customHeight="1">
      <c r="A5" s="15"/>
      <c r="B5" s="498"/>
      <c r="C5" s="52" t="s">
        <v>17</v>
      </c>
      <c r="D5" s="42">
        <v>5540226673</v>
      </c>
      <c r="E5" s="42">
        <f>D5+E3</f>
        <v>5690226673</v>
      </c>
      <c r="F5" s="42">
        <f t="shared" ref="F5:P5" si="1">E5+F3</f>
        <v>5940226673</v>
      </c>
      <c r="G5" s="42">
        <f t="shared" si="1"/>
        <v>6190226673</v>
      </c>
      <c r="H5" s="42">
        <f t="shared" si="1"/>
        <v>6440226673</v>
      </c>
      <c r="I5" s="42">
        <f t="shared" si="1"/>
        <v>6690226673</v>
      </c>
      <c r="J5" s="42">
        <f t="shared" si="1"/>
        <v>6990226673</v>
      </c>
      <c r="K5" s="42">
        <f t="shared" si="1"/>
        <v>7890226673</v>
      </c>
      <c r="L5" s="42">
        <f t="shared" si="1"/>
        <v>8140226673</v>
      </c>
      <c r="M5" s="42">
        <f t="shared" si="1"/>
        <v>8390226673</v>
      </c>
      <c r="N5" s="42">
        <f t="shared" si="1"/>
        <v>8540226673</v>
      </c>
      <c r="O5" s="42">
        <f t="shared" si="1"/>
        <v>8590226673</v>
      </c>
      <c r="P5" s="42">
        <f t="shared" si="1"/>
        <v>8790226673</v>
      </c>
      <c r="Q5" s="239">
        <f>SUM(E5:P5)</f>
        <v>88282720076</v>
      </c>
    </row>
    <row r="6" spans="1:17" ht="13.5" hidden="1" customHeight="1">
      <c r="A6" s="15"/>
      <c r="B6" s="498"/>
      <c r="C6" s="52" t="s">
        <v>49</v>
      </c>
      <c r="D6" s="42">
        <v>42659745.382100001</v>
      </c>
      <c r="E6" s="42">
        <f>E5*0.77%</f>
        <v>43814745.382100001</v>
      </c>
      <c r="F6" s="42">
        <f t="shared" ref="F6:P6" si="2">F5*0.77%</f>
        <v>45739745.382100001</v>
      </c>
      <c r="G6" s="42">
        <f t="shared" si="2"/>
        <v>47664745.382100001</v>
      </c>
      <c r="H6" s="42">
        <f t="shared" si="2"/>
        <v>49589745.382100001</v>
      </c>
      <c r="I6" s="42">
        <f t="shared" si="2"/>
        <v>51514745.382100001</v>
      </c>
      <c r="J6" s="42">
        <f t="shared" si="2"/>
        <v>53824745.382100001</v>
      </c>
      <c r="K6" s="42">
        <f t="shared" si="2"/>
        <v>60754745.382100001</v>
      </c>
      <c r="L6" s="42">
        <f t="shared" si="2"/>
        <v>62679745.382100001</v>
      </c>
      <c r="M6" s="42">
        <f t="shared" si="2"/>
        <v>64604745.382100001</v>
      </c>
      <c r="N6" s="42">
        <f t="shared" si="2"/>
        <v>65759745.382100001</v>
      </c>
      <c r="O6" s="42">
        <f t="shared" si="2"/>
        <v>66144745.382100001</v>
      </c>
      <c r="P6" s="42">
        <f t="shared" si="2"/>
        <v>67684745.382100001</v>
      </c>
      <c r="Q6" s="239">
        <v>687861944.58519995</v>
      </c>
    </row>
    <row r="7" spans="1:17" ht="13.5" hidden="1" customHeight="1">
      <c r="A7" s="15"/>
      <c r="B7" s="498"/>
      <c r="C7" s="52" t="s">
        <v>50</v>
      </c>
      <c r="D7" s="42">
        <v>22609665.052513003</v>
      </c>
      <c r="E7" s="42">
        <f>E6*53%</f>
        <v>23221815.052513003</v>
      </c>
      <c r="F7" s="42">
        <f t="shared" ref="F7:P7" si="3">F6*53%</f>
        <v>24242065.052513003</v>
      </c>
      <c r="G7" s="42">
        <f t="shared" si="3"/>
        <v>25262315.052513003</v>
      </c>
      <c r="H7" s="42">
        <f t="shared" si="3"/>
        <v>26282565.052513003</v>
      </c>
      <c r="I7" s="42">
        <f t="shared" si="3"/>
        <v>27302815.052513003</v>
      </c>
      <c r="J7" s="42">
        <f t="shared" si="3"/>
        <v>28527115.052513003</v>
      </c>
      <c r="K7" s="42">
        <f t="shared" si="3"/>
        <v>32200015.052513003</v>
      </c>
      <c r="L7" s="42">
        <f t="shared" si="3"/>
        <v>33220265.052513003</v>
      </c>
      <c r="M7" s="42">
        <f t="shared" si="3"/>
        <v>34240515.052513003</v>
      </c>
      <c r="N7" s="42">
        <f t="shared" si="3"/>
        <v>34852665.052513003</v>
      </c>
      <c r="O7" s="42">
        <f t="shared" si="3"/>
        <v>35056715.052513003</v>
      </c>
      <c r="P7" s="42">
        <f t="shared" si="3"/>
        <v>35872915.052513003</v>
      </c>
      <c r="Q7" s="239">
        <f>SUM(E7:P7)</f>
        <v>360281780.63015604</v>
      </c>
    </row>
    <row r="8" spans="1:17" ht="13.5" hidden="1" customHeight="1">
      <c r="A8" s="15"/>
      <c r="B8" s="499"/>
      <c r="C8" s="52" t="s">
        <v>51</v>
      </c>
      <c r="D8" s="42">
        <v>20050080.329586998</v>
      </c>
      <c r="E8" s="43">
        <f>E6-E7</f>
        <v>20592930.329586998</v>
      </c>
      <c r="F8" s="43">
        <f t="shared" ref="F8:P8" si="4">F6-F7</f>
        <v>21497680.329586998</v>
      </c>
      <c r="G8" s="43">
        <f t="shared" si="4"/>
        <v>22402430.329586998</v>
      </c>
      <c r="H8" s="43">
        <f t="shared" si="4"/>
        <v>23307180.329586998</v>
      </c>
      <c r="I8" s="43">
        <f t="shared" si="4"/>
        <v>24211930.329586998</v>
      </c>
      <c r="J8" s="43">
        <f t="shared" si="4"/>
        <v>25297630.329586998</v>
      </c>
      <c r="K8" s="43">
        <f t="shared" si="4"/>
        <v>28554730.329586998</v>
      </c>
      <c r="L8" s="43">
        <f t="shared" si="4"/>
        <v>29459480.329586998</v>
      </c>
      <c r="M8" s="43">
        <f t="shared" si="4"/>
        <v>30364230.329586998</v>
      </c>
      <c r="N8" s="43">
        <f t="shared" si="4"/>
        <v>30907080.329586998</v>
      </c>
      <c r="O8" s="43">
        <f t="shared" si="4"/>
        <v>31088030.329586998</v>
      </c>
      <c r="P8" s="43">
        <f t="shared" si="4"/>
        <v>31811830.329586998</v>
      </c>
      <c r="Q8" s="240">
        <f>SUM(E8:P8)</f>
        <v>319495163.95504391</v>
      </c>
    </row>
    <row r="9" spans="1:17" ht="13.5" hidden="1" customHeight="1">
      <c r="B9" s="220"/>
      <c r="C9" s="221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</row>
    <row r="10" spans="1:17" ht="13.5" hidden="1" customHeight="1">
      <c r="A10" s="15"/>
      <c r="B10" s="497" t="s">
        <v>1577</v>
      </c>
      <c r="C10" s="500" t="s">
        <v>1578</v>
      </c>
      <c r="D10" s="501"/>
      <c r="E10" s="406" t="s">
        <v>3</v>
      </c>
      <c r="F10" s="406" t="s">
        <v>4</v>
      </c>
      <c r="G10" s="406" t="s">
        <v>5</v>
      </c>
      <c r="H10" s="406" t="s">
        <v>6</v>
      </c>
      <c r="I10" s="406" t="s">
        <v>7</v>
      </c>
      <c r="J10" s="406" t="s">
        <v>8</v>
      </c>
      <c r="K10" s="406" t="s">
        <v>9</v>
      </c>
      <c r="L10" s="406" t="s">
        <v>10</v>
      </c>
      <c r="M10" s="406" t="s">
        <v>11</v>
      </c>
      <c r="N10" s="406" t="s">
        <v>12</v>
      </c>
      <c r="O10" s="406" t="s">
        <v>15</v>
      </c>
      <c r="P10" s="406" t="s">
        <v>16</v>
      </c>
      <c r="Q10" s="406" t="s">
        <v>2</v>
      </c>
    </row>
    <row r="11" spans="1:17" ht="13.5" hidden="1" customHeight="1">
      <c r="A11" s="15"/>
      <c r="B11" s="498"/>
      <c r="C11" s="500" t="s">
        <v>1838</v>
      </c>
      <c r="D11" s="501"/>
      <c r="E11" s="233">
        <v>130000000</v>
      </c>
      <c r="F11" s="233">
        <v>260000000</v>
      </c>
      <c r="G11" s="233">
        <v>110000000</v>
      </c>
      <c r="H11" s="233">
        <v>200000000</v>
      </c>
      <c r="I11" s="233">
        <v>300000000</v>
      </c>
      <c r="J11" s="233">
        <v>250000000</v>
      </c>
      <c r="K11" s="233">
        <v>900000000</v>
      </c>
      <c r="L11" s="233">
        <v>250000000</v>
      </c>
      <c r="M11" s="233">
        <v>250000000</v>
      </c>
      <c r="N11" s="233">
        <v>140000000</v>
      </c>
      <c r="O11" s="233">
        <v>70000000</v>
      </c>
      <c r="P11" s="233">
        <v>140000000</v>
      </c>
      <c r="Q11" s="234">
        <f>SUM(E11:P11)</f>
        <v>3000000000</v>
      </c>
    </row>
    <row r="12" spans="1:17" ht="13.5" hidden="1" customHeight="1">
      <c r="A12" s="15"/>
      <c r="B12" s="498"/>
      <c r="C12" s="500" t="s">
        <v>1839</v>
      </c>
      <c r="D12" s="501"/>
      <c r="E12" s="233">
        <f>E11</f>
        <v>130000000</v>
      </c>
      <c r="F12" s="233">
        <f>E12+F11</f>
        <v>390000000</v>
      </c>
      <c r="G12" s="233">
        <f t="shared" ref="G12:P12" si="5">F12+G11</f>
        <v>500000000</v>
      </c>
      <c r="H12" s="233">
        <f t="shared" si="5"/>
        <v>700000000</v>
      </c>
      <c r="I12" s="233">
        <f t="shared" si="5"/>
        <v>1000000000</v>
      </c>
      <c r="J12" s="233">
        <f t="shared" si="5"/>
        <v>1250000000</v>
      </c>
      <c r="K12" s="233">
        <f t="shared" si="5"/>
        <v>2150000000</v>
      </c>
      <c r="L12" s="233">
        <f t="shared" si="5"/>
        <v>2400000000</v>
      </c>
      <c r="M12" s="233">
        <f t="shared" si="5"/>
        <v>2650000000</v>
      </c>
      <c r="N12" s="233">
        <f t="shared" si="5"/>
        <v>2790000000</v>
      </c>
      <c r="O12" s="233">
        <f t="shared" si="5"/>
        <v>2860000000</v>
      </c>
      <c r="P12" s="233">
        <f t="shared" si="5"/>
        <v>3000000000</v>
      </c>
      <c r="Q12" s="234">
        <f>SUM(E12:P12)</f>
        <v>19820000000</v>
      </c>
    </row>
    <row r="13" spans="1:17" ht="13.5" hidden="1" customHeight="1">
      <c r="A13" s="15"/>
      <c r="B13" s="498"/>
      <c r="C13" s="52" t="s">
        <v>17</v>
      </c>
      <c r="D13" s="42">
        <v>5540226673</v>
      </c>
      <c r="E13" s="4">
        <f>D13+E11</f>
        <v>5670226673</v>
      </c>
      <c r="F13" s="4">
        <f t="shared" ref="F13:P13" si="6">E13+F11</f>
        <v>5930226673</v>
      </c>
      <c r="G13" s="4">
        <f t="shared" si="6"/>
        <v>6040226673</v>
      </c>
      <c r="H13" s="4">
        <f t="shared" si="6"/>
        <v>6240226673</v>
      </c>
      <c r="I13" s="4">
        <f t="shared" si="6"/>
        <v>6540226673</v>
      </c>
      <c r="J13" s="4">
        <f t="shared" si="6"/>
        <v>6790226673</v>
      </c>
      <c r="K13" s="4">
        <f t="shared" si="6"/>
        <v>7690226673</v>
      </c>
      <c r="L13" s="4">
        <f t="shared" si="6"/>
        <v>7940226673</v>
      </c>
      <c r="M13" s="4">
        <f t="shared" si="6"/>
        <v>8190226673</v>
      </c>
      <c r="N13" s="4">
        <f t="shared" si="6"/>
        <v>8330226673</v>
      </c>
      <c r="O13" s="4">
        <f t="shared" si="6"/>
        <v>8400226673</v>
      </c>
      <c r="P13" s="4">
        <f t="shared" si="6"/>
        <v>8540226673</v>
      </c>
      <c r="Q13" s="235">
        <f>SUM(E13:P13)</f>
        <v>86302720076</v>
      </c>
    </row>
    <row r="14" spans="1:17" ht="13.5" hidden="1" customHeight="1">
      <c r="A14" s="15"/>
      <c r="B14" s="498"/>
      <c r="C14" s="52" t="s">
        <v>49</v>
      </c>
      <c r="D14" s="42">
        <v>42659745.382100001</v>
      </c>
      <c r="E14" s="42">
        <f>E13*0.77%</f>
        <v>43660745.382100001</v>
      </c>
      <c r="F14" s="42">
        <f t="shared" ref="F14:P14" si="7">F13*0.77%</f>
        <v>45662745.382100001</v>
      </c>
      <c r="G14" s="42">
        <f t="shared" si="7"/>
        <v>46509745.382100001</v>
      </c>
      <c r="H14" s="42">
        <f t="shared" si="7"/>
        <v>48049745.382100001</v>
      </c>
      <c r="I14" s="42">
        <f t="shared" si="7"/>
        <v>50359745.382100001</v>
      </c>
      <c r="J14" s="42">
        <f t="shared" si="7"/>
        <v>52284745.382100001</v>
      </c>
      <c r="K14" s="42">
        <f t="shared" si="7"/>
        <v>59214745.382100001</v>
      </c>
      <c r="L14" s="42">
        <f t="shared" si="7"/>
        <v>61139745.382100001</v>
      </c>
      <c r="M14" s="42">
        <f t="shared" si="7"/>
        <v>63064745.382100001</v>
      </c>
      <c r="N14" s="42">
        <f t="shared" si="7"/>
        <v>64142745.382100001</v>
      </c>
      <c r="O14" s="42">
        <f t="shared" si="7"/>
        <v>64681745.382100001</v>
      </c>
      <c r="P14" s="42">
        <f t="shared" si="7"/>
        <v>65759745.382100001</v>
      </c>
      <c r="Q14" s="235">
        <v>687861944.58519995</v>
      </c>
    </row>
    <row r="15" spans="1:17" ht="13.5" hidden="1" customHeight="1">
      <c r="A15" s="15"/>
      <c r="B15" s="498"/>
      <c r="C15" s="52" t="s">
        <v>50</v>
      </c>
      <c r="D15" s="42">
        <v>22609665.052513003</v>
      </c>
      <c r="E15" s="42">
        <f>E14*53%</f>
        <v>23140195.052513003</v>
      </c>
      <c r="F15" s="42">
        <f t="shared" ref="F15:P15" si="8">F14*53%</f>
        <v>24201255.052513003</v>
      </c>
      <c r="G15" s="42">
        <f t="shared" si="8"/>
        <v>24650165.052513003</v>
      </c>
      <c r="H15" s="42">
        <f t="shared" si="8"/>
        <v>25466365.052513003</v>
      </c>
      <c r="I15" s="42">
        <f t="shared" si="8"/>
        <v>26690665.052513003</v>
      </c>
      <c r="J15" s="42">
        <f t="shared" si="8"/>
        <v>27710915.052513003</v>
      </c>
      <c r="K15" s="42">
        <f t="shared" si="8"/>
        <v>31383815.052513003</v>
      </c>
      <c r="L15" s="42">
        <f t="shared" si="8"/>
        <v>32404065.052513003</v>
      </c>
      <c r="M15" s="42">
        <f t="shared" si="8"/>
        <v>33424315.052513003</v>
      </c>
      <c r="N15" s="42">
        <f t="shared" si="8"/>
        <v>33995655.052513003</v>
      </c>
      <c r="O15" s="42">
        <f t="shared" si="8"/>
        <v>34281325.052513003</v>
      </c>
      <c r="P15" s="42">
        <f t="shared" si="8"/>
        <v>34852665.052513003</v>
      </c>
      <c r="Q15" s="235">
        <f>SUM(E15:P15)</f>
        <v>352201400.63015604</v>
      </c>
    </row>
    <row r="16" spans="1:17" ht="13.5" hidden="1" customHeight="1">
      <c r="A16" s="15"/>
      <c r="B16" s="499"/>
      <c r="C16" s="52" t="s">
        <v>51</v>
      </c>
      <c r="D16" s="42">
        <v>20050080.329586998</v>
      </c>
      <c r="E16" s="43">
        <f>E14-E15</f>
        <v>20520550.329586998</v>
      </c>
      <c r="F16" s="43">
        <f t="shared" ref="F16:P16" si="9">F14-F15</f>
        <v>21461490.329586998</v>
      </c>
      <c r="G16" s="43">
        <f t="shared" si="9"/>
        <v>21859580.329586998</v>
      </c>
      <c r="H16" s="43">
        <f t="shared" si="9"/>
        <v>22583380.329586998</v>
      </c>
      <c r="I16" s="43">
        <f t="shared" si="9"/>
        <v>23669080.329586998</v>
      </c>
      <c r="J16" s="43">
        <f t="shared" si="9"/>
        <v>24573830.329586998</v>
      </c>
      <c r="K16" s="43">
        <f t="shared" si="9"/>
        <v>27830930.329586998</v>
      </c>
      <c r="L16" s="43">
        <f t="shared" si="9"/>
        <v>28735680.329586998</v>
      </c>
      <c r="M16" s="43">
        <f t="shared" si="9"/>
        <v>29640430.329586998</v>
      </c>
      <c r="N16" s="43">
        <f t="shared" si="9"/>
        <v>30147090.329586998</v>
      </c>
      <c r="O16" s="43">
        <f t="shared" si="9"/>
        <v>30400420.329586998</v>
      </c>
      <c r="P16" s="43">
        <f t="shared" si="9"/>
        <v>30907080.329586998</v>
      </c>
      <c r="Q16" s="237">
        <f>SUM(E16:P16)</f>
        <v>312329543.95504391</v>
      </c>
    </row>
    <row r="17" spans="2:17" ht="13.5" hidden="1" customHeight="1">
      <c r="B17" s="11"/>
      <c r="C17" s="222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2:17" ht="13.5" hidden="1" customHeight="1">
      <c r="B18" s="497" t="s">
        <v>1841</v>
      </c>
      <c r="C18" s="500" t="s">
        <v>1578</v>
      </c>
      <c r="D18" s="501"/>
      <c r="E18" s="406" t="s">
        <v>3</v>
      </c>
      <c r="F18" s="406" t="s">
        <v>4</v>
      </c>
      <c r="G18" s="406" t="s">
        <v>5</v>
      </c>
      <c r="H18" s="406" t="s">
        <v>6</v>
      </c>
      <c r="I18" s="406" t="s">
        <v>7</v>
      </c>
      <c r="J18" s="406" t="s">
        <v>8</v>
      </c>
      <c r="K18" s="406" t="s">
        <v>9</v>
      </c>
      <c r="L18" s="406" t="s">
        <v>10</v>
      </c>
      <c r="M18" s="406" t="s">
        <v>11</v>
      </c>
      <c r="N18" s="406" t="s">
        <v>12</v>
      </c>
      <c r="O18" s="406" t="s">
        <v>15</v>
      </c>
      <c r="P18" s="406" t="s">
        <v>16</v>
      </c>
      <c r="Q18" s="406" t="s">
        <v>2</v>
      </c>
    </row>
    <row r="19" spans="2:17" ht="13.5" hidden="1" customHeight="1">
      <c r="B19" s="498"/>
      <c r="C19" s="500" t="s">
        <v>1838</v>
      </c>
      <c r="D19" s="501"/>
      <c r="E19" s="233">
        <f>[1]Sheet1!$E$5</f>
        <v>196020000</v>
      </c>
      <c r="F19" s="233">
        <f>[1]Sheet1!$E$6</f>
        <v>239088000</v>
      </c>
      <c r="G19" s="233">
        <f>[1]Sheet1!$E$7</f>
        <v>80683000</v>
      </c>
      <c r="H19" s="233">
        <f>[1]Sheet1!$E$8</f>
        <v>232171665</v>
      </c>
      <c r="I19" s="233">
        <f>[1]Sheet1!$E$10</f>
        <v>132766666</v>
      </c>
      <c r="J19" s="233">
        <f>[1]Sheet1!$E$10</f>
        <v>132766666</v>
      </c>
      <c r="K19" s="233">
        <f>[1]Sheet1!$E$11</f>
        <v>937309999</v>
      </c>
      <c r="L19" s="233">
        <f>[1]Sheet1!$E$12</f>
        <v>264325000</v>
      </c>
      <c r="M19" s="233">
        <f>[1]Sheet1!$E$13</f>
        <v>397280000</v>
      </c>
      <c r="N19" s="233">
        <f>[1]Sheet1!$E$14</f>
        <v>171076666</v>
      </c>
      <c r="O19" s="233">
        <f>[1]Sheet1!$E$15</f>
        <v>81000000</v>
      </c>
      <c r="P19" s="233">
        <f>[1]Sheet1!$E$16</f>
        <v>400000000</v>
      </c>
      <c r="Q19" s="234">
        <f>SUM(E19:P19)</f>
        <v>3264487662</v>
      </c>
    </row>
    <row r="20" spans="2:17" ht="13.5" hidden="1" customHeight="1">
      <c r="B20" s="498"/>
      <c r="C20" s="500" t="s">
        <v>1839</v>
      </c>
      <c r="D20" s="501"/>
      <c r="E20" s="233">
        <f>E19</f>
        <v>196020000</v>
      </c>
      <c r="F20" s="233">
        <f>E20+F19</f>
        <v>435108000</v>
      </c>
      <c r="G20" s="233">
        <f t="shared" ref="G20:P20" si="10">F20+G19</f>
        <v>515791000</v>
      </c>
      <c r="H20" s="233">
        <f t="shared" si="10"/>
        <v>747962665</v>
      </c>
      <c r="I20" s="233">
        <f t="shared" si="10"/>
        <v>880729331</v>
      </c>
      <c r="J20" s="233">
        <f t="shared" si="10"/>
        <v>1013495997</v>
      </c>
      <c r="K20" s="233">
        <f t="shared" si="10"/>
        <v>1950805996</v>
      </c>
      <c r="L20" s="233">
        <f t="shared" si="10"/>
        <v>2215130996</v>
      </c>
      <c r="M20" s="233">
        <f t="shared" si="10"/>
        <v>2612410996</v>
      </c>
      <c r="N20" s="233">
        <f t="shared" si="10"/>
        <v>2783487662</v>
      </c>
      <c r="O20" s="233">
        <f t="shared" si="10"/>
        <v>2864487662</v>
      </c>
      <c r="P20" s="233">
        <f t="shared" si="10"/>
        <v>3264487662</v>
      </c>
      <c r="Q20" s="234">
        <f>SUM(E20:P20)</f>
        <v>19479917967</v>
      </c>
    </row>
    <row r="21" spans="2:17" ht="13.5" hidden="1" customHeight="1">
      <c r="B21" s="498"/>
      <c r="C21" s="52" t="s">
        <v>17</v>
      </c>
      <c r="D21" s="42">
        <v>5540226673</v>
      </c>
      <c r="E21" s="4">
        <v>6060451913</v>
      </c>
      <c r="F21" s="4">
        <v>5726678424</v>
      </c>
      <c r="G21" s="4">
        <v>6558338984</v>
      </c>
      <c r="H21" s="4">
        <v>6839918792</v>
      </c>
      <c r="I21" s="4">
        <v>6567003624</v>
      </c>
      <c r="J21" s="4">
        <v>6330822979</v>
      </c>
      <c r="K21" s="4">
        <v>7913840113</v>
      </c>
      <c r="L21" s="4">
        <v>8531346228</v>
      </c>
      <c r="M21" s="4">
        <v>8735372591</v>
      </c>
      <c r="N21" s="4">
        <v>8654973534</v>
      </c>
      <c r="O21" s="4">
        <v>8750348280</v>
      </c>
      <c r="P21" s="4">
        <v>9068570388</v>
      </c>
      <c r="Q21" s="235">
        <v>89737665850</v>
      </c>
    </row>
    <row r="22" spans="2:17" ht="13.5" hidden="1" customHeight="1">
      <c r="B22" s="498"/>
      <c r="C22" s="52" t="s">
        <v>49</v>
      </c>
      <c r="D22" s="42">
        <v>42659745.382100001</v>
      </c>
      <c r="E22" s="42">
        <v>46649358</v>
      </c>
      <c r="F22" s="42">
        <v>44392889</v>
      </c>
      <c r="G22" s="42">
        <v>48976023</v>
      </c>
      <c r="H22" s="42">
        <v>50934182</v>
      </c>
      <c r="I22" s="42">
        <v>50361625</v>
      </c>
      <c r="J22" s="42">
        <v>49254817</v>
      </c>
      <c r="K22" s="42">
        <v>61631771</v>
      </c>
      <c r="L22" s="42">
        <v>64283165</v>
      </c>
      <c r="M22" s="42">
        <v>65530427</v>
      </c>
      <c r="N22" s="42">
        <v>64944621</v>
      </c>
      <c r="O22" s="42">
        <v>65689396</v>
      </c>
      <c r="P22" s="42">
        <v>70522190</v>
      </c>
      <c r="Q22" s="235">
        <v>683170464</v>
      </c>
    </row>
    <row r="23" spans="2:17" ht="13.5" hidden="1" customHeight="1">
      <c r="B23" s="498"/>
      <c r="C23" s="52" t="s">
        <v>50</v>
      </c>
      <c r="D23" s="42">
        <v>22609665.052513003</v>
      </c>
      <c r="E23" s="42">
        <v>24136601</v>
      </c>
      <c r="F23" s="42">
        <v>22785430</v>
      </c>
      <c r="G23" s="42">
        <v>24556829</v>
      </c>
      <c r="H23" s="42">
        <v>25206435</v>
      </c>
      <c r="I23" s="42">
        <v>25268103</v>
      </c>
      <c r="J23" s="42">
        <v>25122109</v>
      </c>
      <c r="K23" s="42">
        <v>30925904</v>
      </c>
      <c r="L23" s="42">
        <v>31407947</v>
      </c>
      <c r="M23" s="42">
        <v>31975521</v>
      </c>
      <c r="N23" s="42">
        <v>29938776</v>
      </c>
      <c r="O23" s="42">
        <v>30443679</v>
      </c>
      <c r="P23" s="42">
        <v>33229448</v>
      </c>
      <c r="Q23" s="235">
        <v>334996782</v>
      </c>
    </row>
    <row r="24" spans="2:17" ht="13.5" hidden="1" customHeight="1">
      <c r="B24" s="499"/>
      <c r="C24" s="52" t="s">
        <v>51</v>
      </c>
      <c r="D24" s="42">
        <v>20050080.329586998</v>
      </c>
      <c r="E24" s="43">
        <f>E22-E23</f>
        <v>22512757</v>
      </c>
      <c r="F24" s="43">
        <f t="shared" ref="F24:Q24" si="11">F22-F23</f>
        <v>21607459</v>
      </c>
      <c r="G24" s="43">
        <f t="shared" si="11"/>
        <v>24419194</v>
      </c>
      <c r="H24" s="43">
        <f t="shared" si="11"/>
        <v>25727747</v>
      </c>
      <c r="I24" s="43">
        <f t="shared" si="11"/>
        <v>25093522</v>
      </c>
      <c r="J24" s="43">
        <f t="shared" si="11"/>
        <v>24132708</v>
      </c>
      <c r="K24" s="43">
        <f t="shared" si="11"/>
        <v>30705867</v>
      </c>
      <c r="L24" s="43">
        <f t="shared" si="11"/>
        <v>32875218</v>
      </c>
      <c r="M24" s="43">
        <f t="shared" si="11"/>
        <v>33554906</v>
      </c>
      <c r="N24" s="43">
        <f t="shared" si="11"/>
        <v>35005845</v>
      </c>
      <c r="O24" s="43">
        <f t="shared" si="11"/>
        <v>35245717</v>
      </c>
      <c r="P24" s="43">
        <f t="shared" si="11"/>
        <v>37292742</v>
      </c>
      <c r="Q24" s="237">
        <f t="shared" si="11"/>
        <v>348173682</v>
      </c>
    </row>
    <row r="25" spans="2:17" ht="13.5" hidden="1" customHeight="1">
      <c r="B25" s="220"/>
      <c r="C25" s="221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</row>
    <row r="26" spans="2:17" ht="13.5" customHeight="1">
      <c r="B26" s="293" t="s">
        <v>1842</v>
      </c>
      <c r="C26" s="335"/>
      <c r="D26" s="295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 t="s">
        <v>890</v>
      </c>
    </row>
    <row r="27" spans="2:17" ht="13.5" customHeight="1">
      <c r="B27" s="521" t="s">
        <v>1582</v>
      </c>
      <c r="C27" s="521" t="s">
        <v>1578</v>
      </c>
      <c r="D27" s="521"/>
      <c r="E27" s="408" t="s">
        <v>3</v>
      </c>
      <c r="F27" s="408" t="s">
        <v>4</v>
      </c>
      <c r="G27" s="408" t="s">
        <v>5</v>
      </c>
      <c r="H27" s="408" t="s">
        <v>6</v>
      </c>
      <c r="I27" s="408" t="s">
        <v>7</v>
      </c>
      <c r="J27" s="408" t="s">
        <v>8</v>
      </c>
      <c r="K27" s="408" t="s">
        <v>9</v>
      </c>
      <c r="L27" s="408" t="s">
        <v>10</v>
      </c>
      <c r="M27" s="408" t="s">
        <v>11</v>
      </c>
      <c r="N27" s="408" t="s">
        <v>12</v>
      </c>
      <c r="O27" s="408" t="s">
        <v>15</v>
      </c>
      <c r="P27" s="408" t="s">
        <v>16</v>
      </c>
      <c r="Q27" s="408" t="s">
        <v>2</v>
      </c>
    </row>
    <row r="28" spans="2:17" ht="13.5" customHeight="1">
      <c r="B28" s="525"/>
      <c r="C28" s="521" t="s">
        <v>1838</v>
      </c>
      <c r="D28" s="521"/>
      <c r="E28" s="233">
        <v>1000000000</v>
      </c>
      <c r="F28" s="233">
        <v>200000000</v>
      </c>
      <c r="G28" s="233">
        <v>200000000</v>
      </c>
      <c r="H28" s="233">
        <v>200000000</v>
      </c>
      <c r="I28" s="233">
        <v>200000000</v>
      </c>
      <c r="J28" s="233">
        <v>300000000</v>
      </c>
      <c r="K28" s="233">
        <v>200000000</v>
      </c>
      <c r="L28" s="233">
        <v>200000000</v>
      </c>
      <c r="M28" s="233">
        <v>300000000</v>
      </c>
      <c r="N28" s="233">
        <v>200000000</v>
      </c>
      <c r="O28" s="233">
        <v>200000000</v>
      </c>
      <c r="P28" s="233">
        <v>100000000</v>
      </c>
      <c r="Q28" s="234">
        <v>3300000000</v>
      </c>
    </row>
    <row r="29" spans="2:17" ht="13.5" customHeight="1">
      <c r="B29" s="525"/>
      <c r="C29" s="521" t="s">
        <v>1839</v>
      </c>
      <c r="D29" s="521"/>
      <c r="E29" s="233">
        <v>1000000000</v>
      </c>
      <c r="F29" s="233">
        <v>1200000000</v>
      </c>
      <c r="G29" s="233">
        <v>1400000000</v>
      </c>
      <c r="H29" s="233">
        <v>1600000000</v>
      </c>
      <c r="I29" s="233">
        <v>1800000000</v>
      </c>
      <c r="J29" s="233">
        <v>2100000000</v>
      </c>
      <c r="K29" s="233">
        <v>2300000000</v>
      </c>
      <c r="L29" s="233">
        <v>2500000000</v>
      </c>
      <c r="M29" s="233">
        <v>2800000000</v>
      </c>
      <c r="N29" s="233">
        <v>3000000000</v>
      </c>
      <c r="O29" s="233">
        <v>3200000000</v>
      </c>
      <c r="P29" s="233">
        <v>3300000000</v>
      </c>
      <c r="Q29" s="234">
        <v>26200000000</v>
      </c>
    </row>
    <row r="30" spans="2:17" ht="13.5" customHeight="1">
      <c r="B30" s="525"/>
      <c r="C30" s="338" t="s">
        <v>17</v>
      </c>
      <c r="D30" s="339">
        <f>P21</f>
        <v>9068570388</v>
      </c>
      <c r="E30" s="4">
        <f>D30+E29</f>
        <v>10068570388</v>
      </c>
      <c r="F30" s="4">
        <f>E30+F28</f>
        <v>10268570388</v>
      </c>
      <c r="G30" s="4">
        <f t="shared" ref="G30:P30" si="12">F30+G28</f>
        <v>10468570388</v>
      </c>
      <c r="H30" s="4">
        <f t="shared" si="12"/>
        <v>10668570388</v>
      </c>
      <c r="I30" s="4">
        <f t="shared" si="12"/>
        <v>10868570388</v>
      </c>
      <c r="J30" s="4">
        <f t="shared" si="12"/>
        <v>11168570388</v>
      </c>
      <c r="K30" s="4">
        <f t="shared" si="12"/>
        <v>11368570388</v>
      </c>
      <c r="L30" s="4">
        <f t="shared" si="12"/>
        <v>11568570388</v>
      </c>
      <c r="M30" s="4">
        <f t="shared" si="12"/>
        <v>11868570388</v>
      </c>
      <c r="N30" s="4">
        <f t="shared" si="12"/>
        <v>12068570388</v>
      </c>
      <c r="O30" s="4">
        <f t="shared" si="12"/>
        <v>12268570388</v>
      </c>
      <c r="P30" s="4">
        <f t="shared" si="12"/>
        <v>12368570388</v>
      </c>
      <c r="Q30" s="235">
        <f t="shared" ref="Q30:Q33" si="13">SUM(E30:P30)</f>
        <v>135022844656</v>
      </c>
    </row>
    <row r="31" spans="2:17" ht="13.5" customHeight="1">
      <c r="B31" s="525"/>
      <c r="C31" s="338" t="s">
        <v>49</v>
      </c>
      <c r="D31" s="339">
        <f>P22</f>
        <v>70522190</v>
      </c>
      <c r="E31" s="42">
        <f>E30*0.77%</f>
        <v>77527991.987599999</v>
      </c>
      <c r="F31" s="42">
        <f t="shared" ref="F31:P31" si="14">F30*0.77%</f>
        <v>79067991.987599999</v>
      </c>
      <c r="G31" s="42">
        <f t="shared" si="14"/>
        <v>80607991.987599999</v>
      </c>
      <c r="H31" s="42">
        <f t="shared" si="14"/>
        <v>82147991.987599999</v>
      </c>
      <c r="I31" s="42">
        <f t="shared" si="14"/>
        <v>83687991.987599999</v>
      </c>
      <c r="J31" s="42">
        <f t="shared" si="14"/>
        <v>85997991.987599999</v>
      </c>
      <c r="K31" s="42">
        <f t="shared" si="14"/>
        <v>87537991.987599999</v>
      </c>
      <c r="L31" s="42">
        <f t="shared" si="14"/>
        <v>89077991.987599999</v>
      </c>
      <c r="M31" s="42">
        <f t="shared" si="14"/>
        <v>91387991.987599999</v>
      </c>
      <c r="N31" s="42">
        <f t="shared" si="14"/>
        <v>92927991.987599999</v>
      </c>
      <c r="O31" s="42">
        <f t="shared" si="14"/>
        <v>94467991.987599999</v>
      </c>
      <c r="P31" s="42">
        <f t="shared" si="14"/>
        <v>95237991.987599999</v>
      </c>
      <c r="Q31" s="235">
        <f t="shared" si="13"/>
        <v>1039675903.8511997</v>
      </c>
    </row>
    <row r="32" spans="2:17" ht="13.5" customHeight="1">
      <c r="B32" s="525"/>
      <c r="C32" s="338" t="s">
        <v>2247</v>
      </c>
      <c r="D32" s="339">
        <f>P23</f>
        <v>33229448</v>
      </c>
      <c r="E32" s="42">
        <f>E31*47%</f>
        <v>36438156.234171994</v>
      </c>
      <c r="F32" s="42">
        <f t="shared" ref="F32:P32" si="15">F31*47%</f>
        <v>37161956.234171994</v>
      </c>
      <c r="G32" s="42">
        <f t="shared" si="15"/>
        <v>37885756.234171994</v>
      </c>
      <c r="H32" s="42">
        <f t="shared" si="15"/>
        <v>38609556.234171994</v>
      </c>
      <c r="I32" s="42">
        <f t="shared" si="15"/>
        <v>39333356.234171994</v>
      </c>
      <c r="J32" s="42">
        <f t="shared" si="15"/>
        <v>40419056.234171994</v>
      </c>
      <c r="K32" s="42">
        <f t="shared" si="15"/>
        <v>41142856.234171994</v>
      </c>
      <c r="L32" s="42">
        <f t="shared" si="15"/>
        <v>41866656.234171994</v>
      </c>
      <c r="M32" s="42">
        <f t="shared" si="15"/>
        <v>42952356.234171994</v>
      </c>
      <c r="N32" s="42">
        <f t="shared" si="15"/>
        <v>43676156.234171994</v>
      </c>
      <c r="O32" s="42">
        <f t="shared" si="15"/>
        <v>44399956.234171994</v>
      </c>
      <c r="P32" s="42">
        <f t="shared" si="15"/>
        <v>44761856.234171994</v>
      </c>
      <c r="Q32" s="235">
        <f t="shared" si="13"/>
        <v>488647674.8100639</v>
      </c>
    </row>
    <row r="33" spans="1:17" ht="13.5" customHeight="1">
      <c r="B33" s="525"/>
      <c r="C33" s="338" t="s">
        <v>2733</v>
      </c>
      <c r="D33" s="339">
        <f>P24</f>
        <v>37292742</v>
      </c>
      <c r="E33" s="43">
        <f>E31-E32</f>
        <v>41089835.753428005</v>
      </c>
      <c r="F33" s="43">
        <f t="shared" ref="F33:P33" si="16">F31-F32</f>
        <v>41906035.753428005</v>
      </c>
      <c r="G33" s="43">
        <f t="shared" si="16"/>
        <v>42722235.753428005</v>
      </c>
      <c r="H33" s="43">
        <f t="shared" si="16"/>
        <v>43538435.753428005</v>
      </c>
      <c r="I33" s="43">
        <f t="shared" si="16"/>
        <v>44354635.753428005</v>
      </c>
      <c r="J33" s="43">
        <f t="shared" si="16"/>
        <v>45578935.753428005</v>
      </c>
      <c r="K33" s="43">
        <f t="shared" si="16"/>
        <v>46395135.753428005</v>
      </c>
      <c r="L33" s="43">
        <f t="shared" si="16"/>
        <v>47211335.753428005</v>
      </c>
      <c r="M33" s="43">
        <f t="shared" si="16"/>
        <v>48435635.753428005</v>
      </c>
      <c r="N33" s="43">
        <f t="shared" si="16"/>
        <v>49251835.753428005</v>
      </c>
      <c r="O33" s="43">
        <f t="shared" si="16"/>
        <v>50068035.753428005</v>
      </c>
      <c r="P33" s="43">
        <f t="shared" si="16"/>
        <v>50476135.753428005</v>
      </c>
      <c r="Q33" s="237">
        <f t="shared" si="13"/>
        <v>551028229.04113603</v>
      </c>
    </row>
    <row r="34" spans="1:17" s="298" customFormat="1" ht="13.5" hidden="1" customHeight="1">
      <c r="B34" s="299"/>
      <c r="C34" s="300"/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19"/>
      <c r="Q34" s="322"/>
    </row>
    <row r="35" spans="1:17" ht="13.5" hidden="1" customHeight="1">
      <c r="B35" s="315" t="s">
        <v>1844</v>
      </c>
      <c r="C35" s="21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305"/>
      <c r="O35" s="10"/>
      <c r="P35" s="10"/>
      <c r="Q35" s="10" t="s">
        <v>890</v>
      </c>
    </row>
    <row r="36" spans="1:17" ht="13.5" hidden="1" customHeight="1">
      <c r="A36" s="15"/>
      <c r="B36" s="513" t="s">
        <v>1574</v>
      </c>
      <c r="C36" s="513" t="s">
        <v>118</v>
      </c>
      <c r="D36" s="513"/>
      <c r="E36" s="513" t="s">
        <v>53</v>
      </c>
      <c r="F36" s="513"/>
      <c r="G36" s="513"/>
      <c r="H36" s="513" t="s">
        <v>25</v>
      </c>
      <c r="I36" s="513"/>
      <c r="J36" s="513"/>
      <c r="K36" s="513" t="s">
        <v>28</v>
      </c>
      <c r="L36" s="513"/>
      <c r="M36" s="513"/>
      <c r="N36" s="513" t="s">
        <v>76</v>
      </c>
      <c r="O36" s="513"/>
      <c r="P36" s="513"/>
      <c r="Q36" s="513" t="s">
        <v>31</v>
      </c>
    </row>
    <row r="37" spans="1:17" ht="13.5" hidden="1" customHeight="1">
      <c r="A37" s="15"/>
      <c r="B37" s="513"/>
      <c r="C37" s="513"/>
      <c r="D37" s="513"/>
      <c r="E37" s="407" t="s">
        <v>3</v>
      </c>
      <c r="F37" s="407" t="s">
        <v>4</v>
      </c>
      <c r="G37" s="407" t="s">
        <v>5</v>
      </c>
      <c r="H37" s="407" t="s">
        <v>6</v>
      </c>
      <c r="I37" s="407" t="s">
        <v>7</v>
      </c>
      <c r="J37" s="407" t="s">
        <v>8</v>
      </c>
      <c r="K37" s="407" t="s">
        <v>9</v>
      </c>
      <c r="L37" s="407" t="s">
        <v>10</v>
      </c>
      <c r="M37" s="407" t="s">
        <v>11</v>
      </c>
      <c r="N37" s="407" t="s">
        <v>12</v>
      </c>
      <c r="O37" s="407" t="s">
        <v>15</v>
      </c>
      <c r="P37" s="407" t="s">
        <v>16</v>
      </c>
      <c r="Q37" s="513"/>
    </row>
    <row r="38" spans="1:17" ht="13.5" hidden="1" customHeight="1">
      <c r="A38" s="15"/>
      <c r="B38" s="513"/>
      <c r="C38" s="513" t="s">
        <v>116</v>
      </c>
      <c r="D38" s="104" t="s">
        <v>119</v>
      </c>
      <c r="E38" s="4">
        <v>3312763340</v>
      </c>
      <c r="F38" s="4">
        <v>3010833444</v>
      </c>
      <c r="G38" s="4">
        <v>3240008348</v>
      </c>
      <c r="H38" s="4">
        <v>3186827001</v>
      </c>
      <c r="I38" s="4">
        <v>3224933250</v>
      </c>
      <c r="J38" s="44">
        <v>3155902861</v>
      </c>
      <c r="K38" s="4">
        <v>3859664119</v>
      </c>
      <c r="L38" s="4">
        <v>3950507798</v>
      </c>
      <c r="M38" s="20">
        <v>3704671417</v>
      </c>
      <c r="N38" s="4">
        <v>3681777892</v>
      </c>
      <c r="O38" s="323">
        <v>3681777892</v>
      </c>
      <c r="P38" s="306">
        <v>4000000000</v>
      </c>
      <c r="Q38" s="4">
        <f>SUM(E38:P38)</f>
        <v>42009667362</v>
      </c>
    </row>
    <row r="39" spans="1:17" ht="13.5" hidden="1" customHeight="1">
      <c r="A39" s="15"/>
      <c r="B39" s="513"/>
      <c r="C39" s="513"/>
      <c r="D39" s="104" t="s">
        <v>120</v>
      </c>
      <c r="E39" s="4">
        <v>1249109568</v>
      </c>
      <c r="F39" s="4">
        <v>1393467319</v>
      </c>
      <c r="G39" s="4">
        <v>1755085525</v>
      </c>
      <c r="H39" s="4">
        <v>1904109139</v>
      </c>
      <c r="I39" s="4">
        <v>1721262652</v>
      </c>
      <c r="J39" s="45">
        <v>1678784340</v>
      </c>
      <c r="K39" s="4">
        <v>2230562526</v>
      </c>
      <c r="L39" s="4">
        <v>2878438164</v>
      </c>
      <c r="M39" s="20">
        <v>3460984922</v>
      </c>
      <c r="N39" s="4">
        <v>3229691957</v>
      </c>
      <c r="O39" s="323">
        <v>3460984922</v>
      </c>
      <c r="P39" s="323">
        <v>3460984922</v>
      </c>
      <c r="Q39" s="4">
        <f t="shared" ref="Q39:Q56" si="17">SUM(E39:P39)</f>
        <v>28423465956</v>
      </c>
    </row>
    <row r="40" spans="1:17" ht="13.5" hidden="1" customHeight="1">
      <c r="A40" s="15"/>
      <c r="B40" s="513"/>
      <c r="C40" s="513"/>
      <c r="D40" s="104" t="s">
        <v>121</v>
      </c>
      <c r="E40" s="4">
        <v>504538500</v>
      </c>
      <c r="F40" s="4">
        <v>525595600</v>
      </c>
      <c r="G40" s="4">
        <v>544440200</v>
      </c>
      <c r="H40" s="4">
        <v>620219800</v>
      </c>
      <c r="I40" s="4">
        <v>573780900</v>
      </c>
      <c r="J40" s="4">
        <v>667826900</v>
      </c>
      <c r="K40" s="4">
        <v>668086500</v>
      </c>
      <c r="L40" s="4">
        <v>762091200</v>
      </c>
      <c r="M40" s="20">
        <v>748639200</v>
      </c>
      <c r="N40" s="4">
        <v>519211800</v>
      </c>
      <c r="O40" s="306">
        <v>668086500</v>
      </c>
      <c r="P40" s="306">
        <v>668086500</v>
      </c>
      <c r="Q40" s="4">
        <f t="shared" si="17"/>
        <v>7470603600</v>
      </c>
    </row>
    <row r="41" spans="1:17" ht="13.5" hidden="1" customHeight="1">
      <c r="A41" s="15"/>
      <c r="B41" s="513"/>
      <c r="C41" s="513"/>
      <c r="D41" s="104" t="s">
        <v>122</v>
      </c>
      <c r="E41" s="4">
        <v>4831200</v>
      </c>
      <c r="F41" s="4">
        <v>5115200</v>
      </c>
      <c r="G41" s="4">
        <v>4650600</v>
      </c>
      <c r="H41" s="4">
        <v>4789300</v>
      </c>
      <c r="I41" s="4">
        <v>4283000</v>
      </c>
      <c r="J41" s="4">
        <v>4852200</v>
      </c>
      <c r="K41" s="4">
        <v>6286000</v>
      </c>
      <c r="L41" s="4">
        <v>4797900</v>
      </c>
      <c r="M41" s="20">
        <v>5295800</v>
      </c>
      <c r="N41" s="4">
        <v>3987800</v>
      </c>
      <c r="O41" s="324">
        <v>3987800</v>
      </c>
      <c r="P41" s="306">
        <v>3987800</v>
      </c>
      <c r="Q41" s="4">
        <f t="shared" si="17"/>
        <v>56864600</v>
      </c>
    </row>
    <row r="42" spans="1:17" ht="13.5" hidden="1" customHeight="1">
      <c r="A42" s="15"/>
      <c r="B42" s="513"/>
      <c r="C42" s="513"/>
      <c r="D42" s="104" t="s">
        <v>123</v>
      </c>
      <c r="E42" s="4">
        <v>989209305</v>
      </c>
      <c r="F42" s="4">
        <v>791666861</v>
      </c>
      <c r="G42" s="4">
        <v>1014154311</v>
      </c>
      <c r="H42" s="4">
        <v>1123973552</v>
      </c>
      <c r="I42" s="4">
        <v>1042743822</v>
      </c>
      <c r="J42" s="4">
        <v>823456678</v>
      </c>
      <c r="K42" s="4">
        <v>1149240968</v>
      </c>
      <c r="L42" s="4">
        <v>935511166</v>
      </c>
      <c r="M42" s="20">
        <v>815781252</v>
      </c>
      <c r="N42" s="4">
        <v>1220304085</v>
      </c>
      <c r="O42" s="306">
        <v>935511166</v>
      </c>
      <c r="P42" s="306">
        <v>935511166</v>
      </c>
      <c r="Q42" s="4">
        <f t="shared" si="17"/>
        <v>11777064332</v>
      </c>
    </row>
    <row r="43" spans="1:17" ht="13.5" hidden="1" customHeight="1">
      <c r="A43" s="15"/>
      <c r="B43" s="513"/>
      <c r="C43" s="513"/>
      <c r="D43" s="46" t="s">
        <v>124</v>
      </c>
      <c r="E43" s="17">
        <v>47460300</v>
      </c>
      <c r="F43" s="17">
        <v>56494500</v>
      </c>
      <c r="G43" s="17">
        <v>94613400</v>
      </c>
      <c r="H43" s="4">
        <v>75177740</v>
      </c>
      <c r="I43" s="4">
        <v>77909600</v>
      </c>
      <c r="J43" s="4">
        <v>70423140</v>
      </c>
      <c r="K43" s="4">
        <v>83717280</v>
      </c>
      <c r="L43" s="4">
        <v>89182940</v>
      </c>
      <c r="M43" s="20">
        <v>89107680</v>
      </c>
      <c r="N43" s="4"/>
      <c r="O43" s="324"/>
      <c r="P43" s="306"/>
      <c r="Q43" s="4">
        <f t="shared" si="17"/>
        <v>684086580</v>
      </c>
    </row>
    <row r="44" spans="1:17" ht="13.5" hidden="1" customHeight="1">
      <c r="A44" s="15"/>
      <c r="B44" s="513"/>
      <c r="C44" s="513"/>
      <c r="D44" s="407" t="s">
        <v>31</v>
      </c>
      <c r="E44" s="53">
        <f>SUM(E38:E43)</f>
        <v>6107912213</v>
      </c>
      <c r="F44" s="53">
        <f>SUM(F38:F43)</f>
        <v>5783172924</v>
      </c>
      <c r="G44" s="53">
        <f t="shared" ref="G44:H44" si="18">SUM(G38:G43)</f>
        <v>6652952384</v>
      </c>
      <c r="H44" s="53">
        <f t="shared" si="18"/>
        <v>6915096532</v>
      </c>
      <c r="I44" s="53">
        <f>SUM(I38:I43)</f>
        <v>6644913224</v>
      </c>
      <c r="J44" s="53">
        <f>SUM(J38:J43)</f>
        <v>6401246119</v>
      </c>
      <c r="K44" s="53">
        <f>SUM(K38:K43)</f>
        <v>7997557393</v>
      </c>
      <c r="L44" s="53">
        <f t="shared" ref="L44:M44" si="19">SUM(L38:L43)</f>
        <v>8620529168</v>
      </c>
      <c r="M44" s="54">
        <f t="shared" si="19"/>
        <v>8824480271</v>
      </c>
      <c r="N44" s="54">
        <v>8654973534</v>
      </c>
      <c r="O44" s="325">
        <v>8750348280</v>
      </c>
      <c r="P44" s="325">
        <v>9068570388</v>
      </c>
      <c r="Q44" s="53">
        <f t="shared" si="17"/>
        <v>90421752430</v>
      </c>
    </row>
    <row r="45" spans="1:17" ht="13.5" hidden="1" customHeight="1">
      <c r="A45" s="15"/>
      <c r="B45" s="513"/>
      <c r="C45" s="513" t="s">
        <v>125</v>
      </c>
      <c r="D45" s="104" t="s">
        <v>126</v>
      </c>
      <c r="E45" s="4">
        <v>31132644</v>
      </c>
      <c r="F45" s="45">
        <v>28220209</v>
      </c>
      <c r="G45" s="4">
        <v>30196763</v>
      </c>
      <c r="H45" s="4">
        <v>29894974</v>
      </c>
      <c r="I45" s="4">
        <v>30472518</v>
      </c>
      <c r="J45" s="44">
        <v>29770450</v>
      </c>
      <c r="K45" s="4">
        <v>36594438</v>
      </c>
      <c r="L45" s="4">
        <v>37692307</v>
      </c>
      <c r="M45" s="20">
        <v>34919888</v>
      </c>
      <c r="N45" s="4">
        <v>34867206</v>
      </c>
      <c r="O45" s="324">
        <v>34867206</v>
      </c>
      <c r="P45" s="306">
        <v>39700000</v>
      </c>
      <c r="Q45" s="4">
        <f t="shared" si="17"/>
        <v>398328603</v>
      </c>
    </row>
    <row r="46" spans="1:17" ht="13.5" hidden="1" customHeight="1">
      <c r="A46" s="15"/>
      <c r="B46" s="513"/>
      <c r="C46" s="513"/>
      <c r="D46" s="104" t="s">
        <v>127</v>
      </c>
      <c r="E46" s="4">
        <v>9259475</v>
      </c>
      <c r="F46" s="4">
        <v>10503913</v>
      </c>
      <c r="G46" s="4">
        <v>11933622</v>
      </c>
      <c r="H46" s="4">
        <v>13372362</v>
      </c>
      <c r="I46" s="4">
        <v>12786534</v>
      </c>
      <c r="J46" s="44">
        <v>12780033</v>
      </c>
      <c r="K46" s="4">
        <v>17010846</v>
      </c>
      <c r="L46" s="4">
        <v>18966145</v>
      </c>
      <c r="M46" s="20">
        <v>23525925</v>
      </c>
      <c r="N46" s="4">
        <v>21351072</v>
      </c>
      <c r="O46" s="323">
        <v>23525925</v>
      </c>
      <c r="P46" s="323">
        <v>23525925</v>
      </c>
      <c r="Q46" s="4">
        <f t="shared" si="17"/>
        <v>198541777</v>
      </c>
    </row>
    <row r="47" spans="1:17" ht="13.5" hidden="1" customHeight="1">
      <c r="A47" s="15"/>
      <c r="B47" s="513"/>
      <c r="C47" s="513"/>
      <c r="D47" s="104" t="s">
        <v>128</v>
      </c>
      <c r="E47" s="4">
        <v>2531244</v>
      </c>
      <c r="F47" s="4">
        <v>2636886</v>
      </c>
      <c r="G47" s="4">
        <v>2731428</v>
      </c>
      <c r="H47" s="4">
        <v>3111611</v>
      </c>
      <c r="I47" s="4">
        <v>2878629</v>
      </c>
      <c r="J47" s="3">
        <v>3350453</v>
      </c>
      <c r="K47" s="4">
        <v>3351756</v>
      </c>
      <c r="L47" s="4">
        <v>3823372</v>
      </c>
      <c r="M47" s="20">
        <v>3755884</v>
      </c>
      <c r="N47" s="4">
        <v>2604859</v>
      </c>
      <c r="O47" s="324">
        <v>2604859</v>
      </c>
      <c r="P47" s="306">
        <v>2604859</v>
      </c>
      <c r="Q47" s="4">
        <f t="shared" si="17"/>
        <v>35985840</v>
      </c>
    </row>
    <row r="48" spans="1:17" ht="13.5" hidden="1" customHeight="1">
      <c r="A48" s="15"/>
      <c r="B48" s="513"/>
      <c r="C48" s="513"/>
      <c r="D48" s="104" t="s">
        <v>129</v>
      </c>
      <c r="E48" s="4">
        <v>60076</v>
      </c>
      <c r="F48" s="4">
        <v>63611</v>
      </c>
      <c r="G48" s="4">
        <v>57714</v>
      </c>
      <c r="H48" s="4">
        <v>59474</v>
      </c>
      <c r="I48" s="4">
        <v>53090</v>
      </c>
      <c r="J48" s="3">
        <v>60183</v>
      </c>
      <c r="K48" s="4">
        <v>77897</v>
      </c>
      <c r="L48" s="4">
        <v>59424</v>
      </c>
      <c r="M48" s="20">
        <v>65729</v>
      </c>
      <c r="N48" s="4">
        <v>49489</v>
      </c>
      <c r="O48" s="324">
        <v>49489</v>
      </c>
      <c r="P48" s="306">
        <v>49489</v>
      </c>
      <c r="Q48" s="4">
        <f t="shared" si="17"/>
        <v>705665</v>
      </c>
    </row>
    <row r="49" spans="1:17" ht="13.5" hidden="1" customHeight="1">
      <c r="A49" s="15"/>
      <c r="B49" s="513"/>
      <c r="C49" s="513"/>
      <c r="D49" s="104" t="s">
        <v>130</v>
      </c>
      <c r="E49" s="4">
        <v>3665919</v>
      </c>
      <c r="F49" s="4">
        <v>2968270</v>
      </c>
      <c r="G49" s="4">
        <v>4056496</v>
      </c>
      <c r="H49" s="4">
        <v>4495761</v>
      </c>
      <c r="I49" s="4">
        <v>4170854</v>
      </c>
      <c r="J49" s="3">
        <v>3293698</v>
      </c>
      <c r="K49" s="4">
        <v>4596834</v>
      </c>
      <c r="L49" s="4">
        <v>3741917</v>
      </c>
      <c r="M49" s="20">
        <v>3263001</v>
      </c>
      <c r="N49" s="4">
        <v>4881086</v>
      </c>
      <c r="O49" s="306">
        <v>3741917</v>
      </c>
      <c r="P49" s="306">
        <v>3741917</v>
      </c>
      <c r="Q49" s="4">
        <f t="shared" si="17"/>
        <v>46617670</v>
      </c>
    </row>
    <row r="50" spans="1:17" ht="13.5" hidden="1" customHeight="1">
      <c r="A50" s="15"/>
      <c r="B50" s="513"/>
      <c r="C50" s="513"/>
      <c r="D50" s="104" t="s">
        <v>1845</v>
      </c>
      <c r="E50" s="4"/>
      <c r="F50" s="4"/>
      <c r="G50" s="4"/>
      <c r="H50" s="4"/>
      <c r="I50" s="4"/>
      <c r="J50" s="3"/>
      <c r="K50" s="4"/>
      <c r="L50" s="4"/>
      <c r="M50" s="20"/>
      <c r="N50" s="4"/>
      <c r="O50" s="324"/>
      <c r="P50" s="306"/>
      <c r="Q50" s="4"/>
    </row>
    <row r="51" spans="1:17" ht="13.5" hidden="1" customHeight="1">
      <c r="A51" s="15"/>
      <c r="B51" s="513"/>
      <c r="C51" s="513"/>
      <c r="D51" s="46" t="s">
        <v>131</v>
      </c>
      <c r="E51" s="17">
        <v>325682.43181818066</v>
      </c>
      <c r="F51" s="16">
        <v>352486</v>
      </c>
      <c r="G51" s="16">
        <v>612008</v>
      </c>
      <c r="H51" s="4">
        <v>583412</v>
      </c>
      <c r="I51" s="4">
        <v>542660.98295454565</v>
      </c>
      <c r="J51" s="4">
        <v>381979.4090909083</v>
      </c>
      <c r="K51" s="4">
        <v>408593</v>
      </c>
      <c r="L51" s="4">
        <v>352986</v>
      </c>
      <c r="M51" s="20">
        <v>383284.69999999995</v>
      </c>
      <c r="N51" s="4">
        <v>1190909</v>
      </c>
      <c r="O51" s="324">
        <v>900000</v>
      </c>
      <c r="P51" s="324">
        <v>900000</v>
      </c>
      <c r="Q51" s="4">
        <f t="shared" si="17"/>
        <v>6934001.523863635</v>
      </c>
    </row>
    <row r="52" spans="1:17" ht="13.5" hidden="1" customHeight="1">
      <c r="A52" s="15"/>
      <c r="B52" s="513"/>
      <c r="C52" s="513"/>
      <c r="D52" s="407" t="s">
        <v>31</v>
      </c>
      <c r="E52" s="53">
        <f>SUM(E45:E51)</f>
        <v>46975040.43181818</v>
      </c>
      <c r="F52" s="53">
        <f t="shared" ref="F52:H52" si="20">SUM(F45:F51)</f>
        <v>44745375</v>
      </c>
      <c r="G52" s="53">
        <f t="shared" si="20"/>
        <v>49588031</v>
      </c>
      <c r="H52" s="53">
        <f t="shared" si="20"/>
        <v>51517594</v>
      </c>
      <c r="I52" s="53">
        <f>SUM(I45:I51)</f>
        <v>50904285.982954547</v>
      </c>
      <c r="J52" s="53">
        <f>SUM(J45:J51)</f>
        <v>49636796.409090906</v>
      </c>
      <c r="K52" s="53">
        <f>SUM(K45:K51)</f>
        <v>62040364</v>
      </c>
      <c r="L52" s="53">
        <f t="shared" ref="L52" si="21">SUM(L45:L51)</f>
        <v>64636151</v>
      </c>
      <c r="M52" s="54">
        <f>SUM(M45:M51)</f>
        <v>65913711.700000003</v>
      </c>
      <c r="N52" s="54">
        <v>64944621</v>
      </c>
      <c r="O52" s="325">
        <v>65689396</v>
      </c>
      <c r="P52" s="325">
        <v>70522190</v>
      </c>
      <c r="Q52" s="53">
        <f t="shared" si="17"/>
        <v>687113556.52386355</v>
      </c>
    </row>
    <row r="53" spans="1:17" ht="13.5" hidden="1" customHeight="1">
      <c r="A53" s="15"/>
      <c r="B53" s="513"/>
      <c r="C53" s="513" t="s">
        <v>132</v>
      </c>
      <c r="D53" s="104" t="s">
        <v>133</v>
      </c>
      <c r="E53" s="4">
        <v>1513615</v>
      </c>
      <c r="F53" s="4">
        <v>1576786</v>
      </c>
      <c r="G53" s="4">
        <v>1633320</v>
      </c>
      <c r="H53" s="4">
        <v>1860659</v>
      </c>
      <c r="I53" s="4">
        <v>1721342</v>
      </c>
      <c r="J53" s="3">
        <v>2003480</v>
      </c>
      <c r="K53" s="4">
        <v>2004259</v>
      </c>
      <c r="L53" s="4">
        <v>2286273</v>
      </c>
      <c r="M53" s="20">
        <v>2245917</v>
      </c>
      <c r="N53" s="4">
        <v>1557635</v>
      </c>
      <c r="O53" s="306">
        <v>2004259</v>
      </c>
      <c r="P53" s="306">
        <v>2004259</v>
      </c>
      <c r="Q53" s="4">
        <f t="shared" si="17"/>
        <v>22411804</v>
      </c>
    </row>
    <row r="54" spans="1:17" ht="13.5" hidden="1" customHeight="1">
      <c r="A54" s="15"/>
      <c r="B54" s="513"/>
      <c r="C54" s="513"/>
      <c r="D54" s="104" t="s">
        <v>134</v>
      </c>
      <c r="E54" s="4">
        <v>22616499</v>
      </c>
      <c r="F54" s="4">
        <v>21205280</v>
      </c>
      <c r="G54" s="4">
        <v>22695830</v>
      </c>
      <c r="H54" s="4">
        <v>23106406</v>
      </c>
      <c r="I54" s="4">
        <v>23370982</v>
      </c>
      <c r="J54" s="3">
        <v>23010164</v>
      </c>
      <c r="K54" s="4">
        <v>28912087</v>
      </c>
      <c r="L54" s="4">
        <v>29073296</v>
      </c>
      <c r="M54" s="20">
        <v>29505845</v>
      </c>
      <c r="N54" s="4">
        <v>28215661</v>
      </c>
      <c r="O54" s="306">
        <v>28215661</v>
      </c>
      <c r="P54" s="306">
        <v>31116724</v>
      </c>
      <c r="Q54" s="4">
        <f t="shared" si="17"/>
        <v>311044435</v>
      </c>
    </row>
    <row r="55" spans="1:17" ht="13.5" hidden="1" customHeight="1">
      <c r="A55" s="15"/>
      <c r="B55" s="513"/>
      <c r="C55" s="513"/>
      <c r="D55" s="104" t="s">
        <v>135</v>
      </c>
      <c r="E55" s="4">
        <v>6487</v>
      </c>
      <c r="F55" s="4">
        <v>3364</v>
      </c>
      <c r="G55" s="4">
        <v>227679</v>
      </c>
      <c r="H55" s="4">
        <v>239370</v>
      </c>
      <c r="I55" s="4">
        <v>175779</v>
      </c>
      <c r="J55" s="4">
        <v>108465</v>
      </c>
      <c r="K55" s="4">
        <v>9558</v>
      </c>
      <c r="L55" s="4">
        <v>48378</v>
      </c>
      <c r="M55" s="20">
        <v>223759</v>
      </c>
      <c r="N55" s="4">
        <v>165480</v>
      </c>
      <c r="O55" s="323">
        <v>223759</v>
      </c>
      <c r="P55" s="306">
        <v>108465</v>
      </c>
      <c r="Q55" s="4">
        <f t="shared" si="17"/>
        <v>1540543</v>
      </c>
    </row>
    <row r="56" spans="1:17" ht="13.5" hidden="1" customHeight="1">
      <c r="A56" s="15"/>
      <c r="B56" s="513"/>
      <c r="C56" s="513"/>
      <c r="D56" s="407" t="s">
        <v>31</v>
      </c>
      <c r="E56" s="53">
        <f t="shared" ref="E56:M56" si="22">SUM(E53:E55)</f>
        <v>24136601</v>
      </c>
      <c r="F56" s="53">
        <f t="shared" si="22"/>
        <v>22785430</v>
      </c>
      <c r="G56" s="53">
        <f t="shared" si="22"/>
        <v>24556829</v>
      </c>
      <c r="H56" s="53">
        <f t="shared" si="22"/>
        <v>25206435</v>
      </c>
      <c r="I56" s="53">
        <f t="shared" si="22"/>
        <v>25268103</v>
      </c>
      <c r="J56" s="53">
        <f t="shared" si="22"/>
        <v>25122109</v>
      </c>
      <c r="K56" s="53">
        <f t="shared" si="22"/>
        <v>30925904</v>
      </c>
      <c r="L56" s="53">
        <f t="shared" si="22"/>
        <v>31407947</v>
      </c>
      <c r="M56" s="54">
        <f t="shared" si="22"/>
        <v>31975521</v>
      </c>
      <c r="N56" s="53">
        <v>29938776</v>
      </c>
      <c r="O56" s="325">
        <v>30443679</v>
      </c>
      <c r="P56" s="308">
        <v>33229448</v>
      </c>
      <c r="Q56" s="53">
        <f t="shared" si="17"/>
        <v>334996782</v>
      </c>
    </row>
    <row r="57" spans="1:17" ht="13.5" hidden="1" customHeight="1">
      <c r="A57" s="15"/>
      <c r="B57" s="513"/>
      <c r="C57" s="513" t="s">
        <v>136</v>
      </c>
      <c r="D57" s="104" t="s">
        <v>137</v>
      </c>
      <c r="E57" s="16">
        <f>E45+E46+E47+E49+E48+-E53-E54-E55</f>
        <v>22512757</v>
      </c>
      <c r="F57" s="16">
        <f t="shared" ref="F57:K57" si="23">F45+F46+F47+F49+F48+-F53-F54-F55</f>
        <v>21607459</v>
      </c>
      <c r="G57" s="16">
        <f t="shared" si="23"/>
        <v>24419194</v>
      </c>
      <c r="H57" s="16">
        <v>25727747</v>
      </c>
      <c r="I57" s="16">
        <f t="shared" ref="I57:J57" si="24">I59-I51</f>
        <v>25093522</v>
      </c>
      <c r="J57" s="16">
        <f t="shared" si="24"/>
        <v>24132707.999999996</v>
      </c>
      <c r="K57" s="16">
        <f t="shared" si="23"/>
        <v>30705867</v>
      </c>
      <c r="L57" s="16">
        <f t="shared" ref="L57:M57" si="25">L59-L51</f>
        <v>32875218</v>
      </c>
      <c r="M57" s="16">
        <f t="shared" si="25"/>
        <v>33554906</v>
      </c>
      <c r="N57" s="16">
        <v>35005845</v>
      </c>
      <c r="O57" s="309">
        <v>35245717</v>
      </c>
      <c r="P57" s="309">
        <v>37292742</v>
      </c>
      <c r="Q57" s="16">
        <f>SUM(E57:P57)</f>
        <v>348173682</v>
      </c>
    </row>
    <row r="58" spans="1:17" ht="13.5" hidden="1" customHeight="1">
      <c r="A58" s="15"/>
      <c r="B58" s="513"/>
      <c r="C58" s="513"/>
      <c r="D58" s="104" t="s">
        <v>117</v>
      </c>
      <c r="E58" s="16">
        <f t="shared" ref="E58:M58" si="26">E51</f>
        <v>325682.43181818066</v>
      </c>
      <c r="F58" s="16">
        <v>352486</v>
      </c>
      <c r="G58" s="16">
        <v>612008</v>
      </c>
      <c r="H58" s="16">
        <v>583412</v>
      </c>
      <c r="I58" s="16">
        <f t="shared" ref="I58:J58" si="27">I51</f>
        <v>542660.98295454565</v>
      </c>
      <c r="J58" s="16">
        <f t="shared" si="27"/>
        <v>381979.4090909083</v>
      </c>
      <c r="K58" s="16">
        <f t="shared" si="26"/>
        <v>408593</v>
      </c>
      <c r="L58" s="16">
        <f t="shared" si="26"/>
        <v>352986</v>
      </c>
      <c r="M58" s="16">
        <f t="shared" si="26"/>
        <v>383284.69999999995</v>
      </c>
      <c r="N58" s="16">
        <v>0</v>
      </c>
      <c r="O58" s="309">
        <v>0</v>
      </c>
      <c r="P58" s="309">
        <v>0</v>
      </c>
      <c r="Q58" s="16">
        <f>SUM(E58:P58)</f>
        <v>3943092.523863635</v>
      </c>
    </row>
    <row r="59" spans="1:17" ht="13.5" hidden="1" customHeight="1">
      <c r="A59" s="15"/>
      <c r="B59" s="513"/>
      <c r="C59" s="513"/>
      <c r="D59" s="407" t="s">
        <v>31</v>
      </c>
      <c r="E59" s="53">
        <f>E57+E58</f>
        <v>22838439.43181818</v>
      </c>
      <c r="F59" s="53">
        <f t="shared" ref="F59:K59" si="28">F57+F58</f>
        <v>21959945</v>
      </c>
      <c r="G59" s="53">
        <f t="shared" si="28"/>
        <v>25031202</v>
      </c>
      <c r="H59" s="53">
        <f t="shared" si="28"/>
        <v>26311159</v>
      </c>
      <c r="I59" s="53">
        <f t="shared" ref="I59" si="29">SUM(I52-I56)</f>
        <v>25636182.982954547</v>
      </c>
      <c r="J59" s="53">
        <f t="shared" ref="J59" si="30">SUM(J52-J56)</f>
        <v>24514687.409090906</v>
      </c>
      <c r="K59" s="53">
        <f t="shared" si="28"/>
        <v>31114460</v>
      </c>
      <c r="L59" s="53">
        <f t="shared" ref="L59:P59" si="31">SUM(L52-L56)</f>
        <v>33228204</v>
      </c>
      <c r="M59" s="53">
        <f t="shared" si="31"/>
        <v>33938190.700000003</v>
      </c>
      <c r="N59" s="53">
        <f t="shared" si="31"/>
        <v>35005845</v>
      </c>
      <c r="O59" s="308">
        <f t="shared" si="31"/>
        <v>35245717</v>
      </c>
      <c r="P59" s="308">
        <f t="shared" si="31"/>
        <v>37292742</v>
      </c>
      <c r="Q59" s="53">
        <f>SUM(E59:P59)</f>
        <v>352116774.52386361</v>
      </c>
    </row>
    <row r="60" spans="1:17" ht="13.5" hidden="1" customHeight="1">
      <c r="A60" s="15"/>
      <c r="B60" s="513"/>
      <c r="C60" s="513"/>
      <c r="D60" s="104" t="s">
        <v>69</v>
      </c>
      <c r="E60" s="37">
        <f t="shared" ref="E60:Q60" si="32">E59/E8</f>
        <v>1.1090427183646097</v>
      </c>
      <c r="F60" s="37">
        <f t="shared" si="32"/>
        <v>1.0215030023391312</v>
      </c>
      <c r="G60" s="37">
        <f t="shared" si="32"/>
        <v>1.1173431467808728</v>
      </c>
      <c r="H60" s="37">
        <f t="shared" si="32"/>
        <v>1.1288864044441977</v>
      </c>
      <c r="I60" s="37">
        <f t="shared" si="32"/>
        <v>1.0588244156488056</v>
      </c>
      <c r="J60" s="37">
        <f t="shared" si="32"/>
        <v>0.96905074070987607</v>
      </c>
      <c r="K60" s="37">
        <f t="shared" si="32"/>
        <v>1.0896429292403695</v>
      </c>
      <c r="L60" s="37">
        <f t="shared" si="32"/>
        <v>1.1279290614854454</v>
      </c>
      <c r="M60" s="37">
        <f t="shared" si="32"/>
        <v>1.1177029791837183</v>
      </c>
      <c r="N60" s="37">
        <f t="shared" si="32"/>
        <v>1.1326157186866113</v>
      </c>
      <c r="O60" s="37">
        <f t="shared" si="32"/>
        <v>1.133739147393203</v>
      </c>
      <c r="P60" s="37">
        <f t="shared" si="32"/>
        <v>1.1722916164718573</v>
      </c>
      <c r="Q60" s="37">
        <f t="shared" si="32"/>
        <v>1.1021036129780353</v>
      </c>
    </row>
    <row r="61" spans="1:17" s="230" customFormat="1" ht="13.5" customHeight="1">
      <c r="B61" s="224"/>
      <c r="C61" s="224"/>
      <c r="D61" s="224"/>
      <c r="E61" s="225">
        <f>SUM(E59:G59)</f>
        <v>69829586.431818187</v>
      </c>
      <c r="F61" s="226"/>
      <c r="G61" s="227"/>
      <c r="H61" s="226">
        <f>SUM(H59:J59)</f>
        <v>76462029.392045453</v>
      </c>
      <c r="I61" s="226"/>
      <c r="J61" s="224"/>
      <c r="K61" s="228">
        <f>SUM(K59:M59)</f>
        <v>98280854.700000003</v>
      </c>
      <c r="L61" s="229"/>
      <c r="M61" s="224"/>
      <c r="N61" s="228">
        <f>SUM(N59:P59)</f>
        <v>107544304</v>
      </c>
      <c r="O61" s="224"/>
      <c r="P61" s="224"/>
      <c r="Q61" s="224"/>
    </row>
    <row r="62" spans="1:17" s="230" customFormat="1" ht="13.5" customHeight="1">
      <c r="B62" s="293" t="s">
        <v>1872</v>
      </c>
      <c r="C62" s="326"/>
      <c r="D62" s="326"/>
      <c r="E62" s="327"/>
      <c r="F62" s="243"/>
      <c r="G62" s="244"/>
      <c r="H62" s="243"/>
      <c r="I62" s="243"/>
      <c r="J62" s="241"/>
      <c r="K62" s="245"/>
      <c r="L62" s="246"/>
      <c r="M62" s="241"/>
      <c r="N62" s="245"/>
      <c r="O62" s="241"/>
      <c r="P62" s="241"/>
      <c r="Q62" s="241"/>
    </row>
    <row r="63" spans="1:17" s="230" customFormat="1" ht="13.5" customHeight="1">
      <c r="A63" s="466"/>
      <c r="B63" s="521" t="s">
        <v>1871</v>
      </c>
      <c r="C63" s="525" t="s">
        <v>118</v>
      </c>
      <c r="D63" s="525"/>
      <c r="E63" s="525" t="s">
        <v>53</v>
      </c>
      <c r="F63" s="525"/>
      <c r="G63" s="525"/>
      <c r="H63" s="525" t="s">
        <v>25</v>
      </c>
      <c r="I63" s="525"/>
      <c r="J63" s="525"/>
      <c r="K63" s="525" t="s">
        <v>28</v>
      </c>
      <c r="L63" s="525"/>
      <c r="M63" s="525"/>
      <c r="N63" s="525" t="s">
        <v>76</v>
      </c>
      <c r="O63" s="525"/>
      <c r="P63" s="525"/>
      <c r="Q63" s="525" t="s">
        <v>31</v>
      </c>
    </row>
    <row r="64" spans="1:17" s="230" customFormat="1" ht="13.5" customHeight="1">
      <c r="A64" s="466"/>
      <c r="B64" s="521"/>
      <c r="C64" s="525"/>
      <c r="D64" s="525"/>
      <c r="E64" s="459" t="s">
        <v>3</v>
      </c>
      <c r="F64" s="459" t="s">
        <v>4</v>
      </c>
      <c r="G64" s="459" t="s">
        <v>5</v>
      </c>
      <c r="H64" s="459" t="s">
        <v>6</v>
      </c>
      <c r="I64" s="459" t="s">
        <v>7</v>
      </c>
      <c r="J64" s="459" t="s">
        <v>8</v>
      </c>
      <c r="K64" s="459" t="s">
        <v>9</v>
      </c>
      <c r="L64" s="459" t="s">
        <v>10</v>
      </c>
      <c r="M64" s="459" t="s">
        <v>11</v>
      </c>
      <c r="N64" s="459" t="s">
        <v>12</v>
      </c>
      <c r="O64" s="459" t="s">
        <v>15</v>
      </c>
      <c r="P64" s="459" t="s">
        <v>16</v>
      </c>
      <c r="Q64" s="525"/>
    </row>
    <row r="65" spans="1:17" s="230" customFormat="1" ht="13.5" customHeight="1">
      <c r="A65" s="466"/>
      <c r="B65" s="521"/>
      <c r="C65" s="525" t="s">
        <v>116</v>
      </c>
      <c r="D65" s="104" t="s">
        <v>79</v>
      </c>
      <c r="E65" s="4">
        <v>4396911156</v>
      </c>
      <c r="F65" s="4">
        <v>4404143637</v>
      </c>
      <c r="G65" s="4">
        <v>4767481775</v>
      </c>
      <c r="H65" s="4"/>
      <c r="I65" s="4"/>
      <c r="J65" s="44"/>
      <c r="K65" s="4"/>
      <c r="L65" s="4"/>
      <c r="M65" s="20"/>
      <c r="N65" s="4"/>
      <c r="O65" s="328"/>
      <c r="P65" s="328"/>
      <c r="Q65" s="4">
        <f>SUM(E65:P65)</f>
        <v>13568536568</v>
      </c>
    </row>
    <row r="66" spans="1:17" s="230" customFormat="1" ht="13.5" customHeight="1">
      <c r="A66" s="466"/>
      <c r="B66" s="521"/>
      <c r="C66" s="525"/>
      <c r="D66" s="104" t="s">
        <v>1873</v>
      </c>
      <c r="E66" s="4">
        <v>3444177435</v>
      </c>
      <c r="F66" s="4">
        <v>2628051785</v>
      </c>
      <c r="G66" s="4">
        <v>3462191086</v>
      </c>
      <c r="H66" s="4"/>
      <c r="I66" s="4"/>
      <c r="J66" s="45"/>
      <c r="K66" s="4"/>
      <c r="L66" s="4"/>
      <c r="M66" s="20"/>
      <c r="N66" s="4"/>
      <c r="O66" s="328"/>
      <c r="P66" s="328"/>
      <c r="Q66" s="4">
        <f t="shared" ref="Q66:Q76" si="33">SUM(E66:P66)</f>
        <v>9534420306</v>
      </c>
    </row>
    <row r="67" spans="1:17" s="230" customFormat="1" ht="13.5" customHeight="1">
      <c r="A67" s="466"/>
      <c r="B67" s="521"/>
      <c r="C67" s="525"/>
      <c r="D67" s="104" t="s">
        <v>1912</v>
      </c>
      <c r="E67" s="4">
        <v>666623300</v>
      </c>
      <c r="F67" s="4">
        <v>677851000</v>
      </c>
      <c r="G67" s="4">
        <v>689810300</v>
      </c>
      <c r="H67" s="4"/>
      <c r="I67" s="4"/>
      <c r="J67" s="4"/>
      <c r="K67" s="4"/>
      <c r="L67" s="4"/>
      <c r="M67" s="20"/>
      <c r="N67" s="4"/>
      <c r="O67" s="328"/>
      <c r="P67" s="328"/>
      <c r="Q67" s="4">
        <f t="shared" si="33"/>
        <v>2034284600</v>
      </c>
    </row>
    <row r="68" spans="1:17" s="230" customFormat="1" ht="13.5" customHeight="1">
      <c r="A68" s="466"/>
      <c r="B68" s="521"/>
      <c r="C68" s="525"/>
      <c r="D68" s="104" t="s">
        <v>1913</v>
      </c>
      <c r="E68" s="4">
        <v>5016800</v>
      </c>
      <c r="F68" s="4">
        <v>4575600</v>
      </c>
      <c r="G68" s="4">
        <v>5372850</v>
      </c>
      <c r="H68" s="4"/>
      <c r="I68" s="4"/>
      <c r="J68" s="4"/>
      <c r="K68" s="4"/>
      <c r="L68" s="4"/>
      <c r="M68" s="20"/>
      <c r="N68" s="4"/>
      <c r="O68" s="328"/>
      <c r="P68" s="328"/>
      <c r="Q68" s="4">
        <f t="shared" si="33"/>
        <v>14965250</v>
      </c>
    </row>
    <row r="69" spans="1:17" s="230" customFormat="1" ht="13.5" customHeight="1">
      <c r="A69" s="466"/>
      <c r="B69" s="521"/>
      <c r="C69" s="525"/>
      <c r="D69" s="104" t="s">
        <v>1879</v>
      </c>
      <c r="E69" s="4">
        <v>2060943796</v>
      </c>
      <c r="F69" s="4">
        <v>2272980446</v>
      </c>
      <c r="G69" s="4">
        <v>2074509316</v>
      </c>
      <c r="H69" s="4"/>
      <c r="I69" s="4"/>
      <c r="J69" s="4"/>
      <c r="K69" s="4"/>
      <c r="L69" s="4"/>
      <c r="M69" s="20"/>
      <c r="N69" s="4"/>
      <c r="O69" s="328"/>
      <c r="P69" s="328"/>
      <c r="Q69" s="4">
        <f t="shared" si="33"/>
        <v>6408433558</v>
      </c>
    </row>
    <row r="70" spans="1:17" s="230" customFormat="1" ht="13.5" customHeight="1">
      <c r="A70" s="466"/>
      <c r="B70" s="521"/>
      <c r="C70" s="525"/>
      <c r="D70" s="104" t="s">
        <v>2415</v>
      </c>
      <c r="E70" s="4">
        <v>80546410</v>
      </c>
      <c r="F70" s="4">
        <v>71779110</v>
      </c>
      <c r="G70" s="4">
        <v>78458390</v>
      </c>
      <c r="H70" s="4"/>
      <c r="I70" s="4"/>
      <c r="J70" s="4"/>
      <c r="K70" s="4"/>
      <c r="L70" s="4"/>
      <c r="M70" s="20"/>
      <c r="N70" s="4"/>
      <c r="O70" s="328"/>
      <c r="P70" s="328"/>
      <c r="Q70" s="4"/>
    </row>
    <row r="71" spans="1:17" s="230" customFormat="1" ht="13.5" customHeight="1">
      <c r="A71" s="466"/>
      <c r="B71" s="521"/>
      <c r="C71" s="525"/>
      <c r="D71" s="459" t="s">
        <v>31</v>
      </c>
      <c r="E71" s="340">
        <f>SUM(E65:E70)</f>
        <v>10654218897</v>
      </c>
      <c r="F71" s="340">
        <f t="shared" ref="F71:P71" si="34">SUM(F65:F70)</f>
        <v>10059381578</v>
      </c>
      <c r="G71" s="340">
        <f t="shared" si="34"/>
        <v>11077823717</v>
      </c>
      <c r="H71" s="340">
        <f t="shared" si="34"/>
        <v>0</v>
      </c>
      <c r="I71" s="340">
        <f t="shared" si="34"/>
        <v>0</v>
      </c>
      <c r="J71" s="340">
        <f t="shared" si="34"/>
        <v>0</v>
      </c>
      <c r="K71" s="340">
        <f t="shared" si="34"/>
        <v>0</v>
      </c>
      <c r="L71" s="340">
        <f t="shared" si="34"/>
        <v>0</v>
      </c>
      <c r="M71" s="340">
        <f t="shared" si="34"/>
        <v>0</v>
      </c>
      <c r="N71" s="340">
        <f t="shared" si="34"/>
        <v>0</v>
      </c>
      <c r="O71" s="340">
        <f t="shared" si="34"/>
        <v>0</v>
      </c>
      <c r="P71" s="340">
        <f t="shared" si="34"/>
        <v>0</v>
      </c>
      <c r="Q71" s="340">
        <f t="shared" si="33"/>
        <v>31791424192</v>
      </c>
    </row>
    <row r="72" spans="1:17" s="230" customFormat="1" ht="13.5" customHeight="1">
      <c r="A72" s="466"/>
      <c r="B72" s="521"/>
      <c r="C72" s="525" t="s">
        <v>125</v>
      </c>
      <c r="D72" s="104" t="s">
        <v>79</v>
      </c>
      <c r="E72" s="4">
        <v>41599838</v>
      </c>
      <c r="F72" s="45">
        <v>42455565</v>
      </c>
      <c r="G72" s="4">
        <v>45434778</v>
      </c>
      <c r="H72" s="4"/>
      <c r="I72" s="4"/>
      <c r="J72" s="44"/>
      <c r="K72" s="4"/>
      <c r="L72" s="4"/>
      <c r="M72" s="20"/>
      <c r="N72" s="4"/>
      <c r="O72" s="328"/>
      <c r="P72" s="328"/>
      <c r="Q72" s="4">
        <f t="shared" si="33"/>
        <v>129490181</v>
      </c>
    </row>
    <row r="73" spans="1:17" s="230" customFormat="1" ht="13.5" customHeight="1">
      <c r="A73" s="466"/>
      <c r="B73" s="521"/>
      <c r="C73" s="525"/>
      <c r="D73" s="104" t="s">
        <v>1873</v>
      </c>
      <c r="E73" s="4">
        <v>24117001</v>
      </c>
      <c r="F73" s="4">
        <v>18629816</v>
      </c>
      <c r="G73" s="4">
        <v>23015655</v>
      </c>
      <c r="H73" s="4"/>
      <c r="I73" s="4"/>
      <c r="J73" s="44"/>
      <c r="K73" s="4"/>
      <c r="L73" s="4"/>
      <c r="M73" s="20"/>
      <c r="N73" s="4"/>
      <c r="O73" s="328"/>
      <c r="P73" s="328"/>
      <c r="Q73" s="4">
        <f t="shared" si="33"/>
        <v>65762472</v>
      </c>
    </row>
    <row r="74" spans="1:17" s="230" customFormat="1" ht="13.5" customHeight="1">
      <c r="A74" s="466"/>
      <c r="B74" s="521"/>
      <c r="C74" s="525"/>
      <c r="D74" s="104" t="s">
        <v>1912</v>
      </c>
      <c r="E74" s="4">
        <v>3344415</v>
      </c>
      <c r="F74" s="4">
        <v>3400744</v>
      </c>
      <c r="G74" s="4">
        <v>3460743</v>
      </c>
      <c r="H74" s="4"/>
      <c r="I74" s="4"/>
      <c r="J74" s="3"/>
      <c r="K74" s="4"/>
      <c r="L74" s="4"/>
      <c r="M74" s="20"/>
      <c r="N74" s="4"/>
      <c r="O74" s="328"/>
      <c r="P74" s="328"/>
      <c r="Q74" s="4">
        <f t="shared" si="33"/>
        <v>10205902</v>
      </c>
    </row>
    <row r="75" spans="1:17" s="230" customFormat="1" ht="13.5" customHeight="1">
      <c r="A75" s="466"/>
      <c r="B75" s="521"/>
      <c r="C75" s="525"/>
      <c r="D75" s="104" t="s">
        <v>1913</v>
      </c>
      <c r="E75" s="4">
        <v>62339</v>
      </c>
      <c r="F75" s="4">
        <v>56793</v>
      </c>
      <c r="G75" s="4">
        <v>66692</v>
      </c>
      <c r="H75" s="4"/>
      <c r="I75" s="4"/>
      <c r="J75" s="3"/>
      <c r="K75" s="4"/>
      <c r="L75" s="4"/>
      <c r="M75" s="20"/>
      <c r="N75" s="4"/>
      <c r="O75" s="328"/>
      <c r="P75" s="328"/>
      <c r="Q75" s="4">
        <f t="shared" si="33"/>
        <v>185824</v>
      </c>
    </row>
    <row r="76" spans="1:17" s="230" customFormat="1" ht="13.5" customHeight="1">
      <c r="A76" s="466"/>
      <c r="B76" s="521"/>
      <c r="C76" s="525"/>
      <c r="D76" s="104" t="s">
        <v>1879</v>
      </c>
      <c r="E76" s="4">
        <v>8243679</v>
      </c>
      <c r="F76" s="4">
        <v>9091808</v>
      </c>
      <c r="G76" s="4">
        <v>8297888</v>
      </c>
      <c r="H76" s="4"/>
      <c r="I76" s="4"/>
      <c r="J76" s="3"/>
      <c r="K76" s="4"/>
      <c r="L76" s="4"/>
      <c r="M76" s="20"/>
      <c r="N76" s="4"/>
      <c r="O76" s="328"/>
      <c r="P76" s="328"/>
      <c r="Q76" s="4">
        <f t="shared" si="33"/>
        <v>25633375</v>
      </c>
    </row>
    <row r="77" spans="1:17" s="230" customFormat="1" ht="13.5" customHeight="1">
      <c r="A77" s="466"/>
      <c r="B77" s="521"/>
      <c r="C77" s="525"/>
      <c r="D77" s="104" t="s">
        <v>2415</v>
      </c>
      <c r="E77" s="4">
        <v>170859.17329545453</v>
      </c>
      <c r="F77" s="4">
        <v>175109.99715909091</v>
      </c>
      <c r="G77" s="4">
        <v>249469.29261363592</v>
      </c>
      <c r="H77" s="4"/>
      <c r="I77" s="4"/>
      <c r="J77" s="3"/>
      <c r="K77" s="4"/>
      <c r="L77" s="4"/>
      <c r="M77" s="20"/>
      <c r="N77" s="4"/>
      <c r="O77" s="328"/>
      <c r="P77" s="328"/>
      <c r="Q77" s="4"/>
    </row>
    <row r="78" spans="1:17" s="230" customFormat="1" ht="13.5" customHeight="1">
      <c r="A78" s="466"/>
      <c r="B78" s="521"/>
      <c r="C78" s="525"/>
      <c r="D78" s="104" t="s">
        <v>1845</v>
      </c>
      <c r="E78" s="4">
        <v>600000</v>
      </c>
      <c r="F78" s="4">
        <v>1700000</v>
      </c>
      <c r="G78" s="4">
        <v>1800000</v>
      </c>
      <c r="H78" s="4"/>
      <c r="I78" s="4"/>
      <c r="J78" s="3"/>
      <c r="K78" s="4"/>
      <c r="L78" s="4"/>
      <c r="M78" s="20"/>
      <c r="N78" s="4"/>
      <c r="O78" s="328"/>
      <c r="P78" s="328"/>
      <c r="Q78" s="4">
        <f>SUM(N78:P78)</f>
        <v>0</v>
      </c>
    </row>
    <row r="79" spans="1:17" s="230" customFormat="1" ht="13.5" customHeight="1">
      <c r="A79" s="466"/>
      <c r="B79" s="521"/>
      <c r="C79" s="525"/>
      <c r="D79" s="459" t="s">
        <v>31</v>
      </c>
      <c r="E79" s="340">
        <f t="shared" ref="E79:P79" si="35">SUM(E72:E78)</f>
        <v>78138131.173295453</v>
      </c>
      <c r="F79" s="340">
        <f t="shared" si="35"/>
        <v>75509835.997159094</v>
      </c>
      <c r="G79" s="340">
        <f t="shared" si="35"/>
        <v>82325225.29261364</v>
      </c>
      <c r="H79" s="340">
        <f t="shared" si="35"/>
        <v>0</v>
      </c>
      <c r="I79" s="340">
        <f t="shared" si="35"/>
        <v>0</v>
      </c>
      <c r="J79" s="340">
        <f t="shared" si="35"/>
        <v>0</v>
      </c>
      <c r="K79" s="340">
        <f t="shared" si="35"/>
        <v>0</v>
      </c>
      <c r="L79" s="340">
        <f t="shared" si="35"/>
        <v>0</v>
      </c>
      <c r="M79" s="341">
        <f t="shared" si="35"/>
        <v>0</v>
      </c>
      <c r="N79" s="341">
        <f t="shared" si="35"/>
        <v>0</v>
      </c>
      <c r="O79" s="341">
        <f t="shared" si="35"/>
        <v>0</v>
      </c>
      <c r="P79" s="341">
        <f t="shared" si="35"/>
        <v>0</v>
      </c>
      <c r="Q79" s="340">
        <f t="shared" ref="Q79:Q84" si="36">SUM(E79:P79)</f>
        <v>235973192.46306819</v>
      </c>
    </row>
    <row r="80" spans="1:17" s="230" customFormat="1" ht="13.5" customHeight="1">
      <c r="A80" s="466"/>
      <c r="B80" s="521"/>
      <c r="C80" s="525" t="s">
        <v>2736</v>
      </c>
      <c r="D80" s="104" t="s">
        <v>2523</v>
      </c>
      <c r="E80" s="4">
        <v>1999869</v>
      </c>
      <c r="F80" s="4">
        <v>2033553</v>
      </c>
      <c r="G80" s="4">
        <v>2069430</v>
      </c>
      <c r="H80" s="4"/>
      <c r="I80" s="4"/>
      <c r="J80" s="3"/>
      <c r="K80" s="4"/>
      <c r="L80" s="4"/>
      <c r="M80" s="20"/>
      <c r="N80" s="4"/>
      <c r="O80" s="328"/>
      <c r="P80" s="328"/>
      <c r="Q80" s="4">
        <f t="shared" si="36"/>
        <v>6102852</v>
      </c>
    </row>
    <row r="81" spans="1:18" s="230" customFormat="1" ht="13.5" customHeight="1">
      <c r="A81" s="466"/>
      <c r="B81" s="521"/>
      <c r="C81" s="525"/>
      <c r="D81" s="104" t="s">
        <v>134</v>
      </c>
      <c r="E81" s="4">
        <v>29858714</v>
      </c>
      <c r="F81" s="4">
        <v>28850261</v>
      </c>
      <c r="G81" s="4">
        <v>31635723</v>
      </c>
      <c r="H81" s="4"/>
      <c r="I81" s="4"/>
      <c r="J81" s="3"/>
      <c r="K81" s="4"/>
      <c r="L81" s="4"/>
      <c r="M81" s="20"/>
      <c r="N81" s="4"/>
      <c r="O81" s="328"/>
      <c r="P81" s="328"/>
      <c r="Q81" s="4">
        <f t="shared" si="36"/>
        <v>90344698</v>
      </c>
    </row>
    <row r="82" spans="1:18" s="230" customFormat="1" ht="13.5" customHeight="1">
      <c r="A82" s="466"/>
      <c r="B82" s="521"/>
      <c r="C82" s="525"/>
      <c r="D82" s="104" t="s">
        <v>135</v>
      </c>
      <c r="E82" s="4">
        <v>8335</v>
      </c>
      <c r="F82" s="4">
        <v>3586</v>
      </c>
      <c r="G82" s="4">
        <v>267762</v>
      </c>
      <c r="H82" s="4"/>
      <c r="I82" s="4"/>
      <c r="J82" s="4"/>
      <c r="K82" s="4"/>
      <c r="L82" s="4"/>
      <c r="M82" s="20"/>
      <c r="N82" s="4"/>
      <c r="O82" s="328"/>
      <c r="P82" s="328"/>
      <c r="Q82" s="4">
        <f t="shared" si="36"/>
        <v>279683</v>
      </c>
    </row>
    <row r="83" spans="1:18" s="230" customFormat="1" ht="13.5" customHeight="1">
      <c r="A83" s="466"/>
      <c r="B83" s="521"/>
      <c r="C83" s="525"/>
      <c r="D83" s="46" t="s">
        <v>2412</v>
      </c>
      <c r="E83" s="4">
        <v>0</v>
      </c>
      <c r="F83" s="4">
        <v>38602</v>
      </c>
      <c r="G83" s="4">
        <v>34261</v>
      </c>
      <c r="H83" s="4"/>
      <c r="I83" s="4"/>
      <c r="J83" s="4"/>
      <c r="K83" s="4"/>
      <c r="L83" s="4"/>
      <c r="M83" s="20"/>
      <c r="N83" s="4"/>
      <c r="O83" s="328"/>
      <c r="P83" s="328"/>
      <c r="Q83" s="4">
        <f t="shared" si="36"/>
        <v>72863</v>
      </c>
    </row>
    <row r="84" spans="1:18" s="230" customFormat="1" ht="13.5" customHeight="1">
      <c r="A84" s="466"/>
      <c r="B84" s="521"/>
      <c r="C84" s="525"/>
      <c r="D84" s="459" t="s">
        <v>31</v>
      </c>
      <c r="E84" s="340">
        <f t="shared" ref="E84:P84" si="37">SUM(E80:E83)</f>
        <v>31866918</v>
      </c>
      <c r="F84" s="340">
        <f t="shared" si="37"/>
        <v>30926002</v>
      </c>
      <c r="G84" s="340">
        <f>SUM(G80:G83)</f>
        <v>34007176</v>
      </c>
      <c r="H84" s="340">
        <f t="shared" si="37"/>
        <v>0</v>
      </c>
      <c r="I84" s="340">
        <f t="shared" si="37"/>
        <v>0</v>
      </c>
      <c r="J84" s="340">
        <f t="shared" si="37"/>
        <v>0</v>
      </c>
      <c r="K84" s="340">
        <f t="shared" si="37"/>
        <v>0</v>
      </c>
      <c r="L84" s="340">
        <f t="shared" si="37"/>
        <v>0</v>
      </c>
      <c r="M84" s="341">
        <f t="shared" si="37"/>
        <v>0</v>
      </c>
      <c r="N84" s="341">
        <f t="shared" si="37"/>
        <v>0</v>
      </c>
      <c r="O84" s="341">
        <f t="shared" si="37"/>
        <v>0</v>
      </c>
      <c r="P84" s="341">
        <f t="shared" si="37"/>
        <v>0</v>
      </c>
      <c r="Q84" s="340">
        <f t="shared" si="36"/>
        <v>96800096</v>
      </c>
    </row>
    <row r="85" spans="1:18" s="230" customFormat="1">
      <c r="A85" s="466"/>
      <c r="B85" s="521"/>
      <c r="C85" s="459" t="s">
        <v>2735</v>
      </c>
      <c r="D85" s="459" t="s">
        <v>137</v>
      </c>
      <c r="E85" s="342">
        <f>E79-E84</f>
        <v>46271213.173295453</v>
      </c>
      <c r="F85" s="342">
        <f t="shared" ref="F85:Q85" si="38">F79-F84</f>
        <v>44583833.997159094</v>
      </c>
      <c r="G85" s="342">
        <f t="shared" si="38"/>
        <v>48318049.29261364</v>
      </c>
      <c r="H85" s="342">
        <f t="shared" si="38"/>
        <v>0</v>
      </c>
      <c r="I85" s="342">
        <f t="shared" si="38"/>
        <v>0</v>
      </c>
      <c r="J85" s="342">
        <f t="shared" si="38"/>
        <v>0</v>
      </c>
      <c r="K85" s="342">
        <f t="shared" si="38"/>
        <v>0</v>
      </c>
      <c r="L85" s="342">
        <f t="shared" si="38"/>
        <v>0</v>
      </c>
      <c r="M85" s="342">
        <f t="shared" si="38"/>
        <v>0</v>
      </c>
      <c r="N85" s="342">
        <f t="shared" si="38"/>
        <v>0</v>
      </c>
      <c r="O85" s="342">
        <f t="shared" si="38"/>
        <v>0</v>
      </c>
      <c r="P85" s="342">
        <f t="shared" si="38"/>
        <v>0</v>
      </c>
      <c r="Q85" s="342">
        <f t="shared" si="38"/>
        <v>139173096.46306819</v>
      </c>
    </row>
    <row r="86" spans="1:18">
      <c r="A86" s="15"/>
      <c r="B86" s="521"/>
      <c r="C86" s="535" t="s">
        <v>2734</v>
      </c>
      <c r="D86" s="535"/>
      <c r="E86" s="468">
        <f t="shared" ref="E86:Q86" si="39">E85/E33</f>
        <v>1.1260987620140386</v>
      </c>
      <c r="F86" s="468">
        <f t="shared" si="39"/>
        <v>1.0639000610672662</v>
      </c>
      <c r="G86" s="468">
        <f t="shared" si="39"/>
        <v>1.1309812897312292</v>
      </c>
      <c r="H86" s="467">
        <f t="shared" si="39"/>
        <v>0</v>
      </c>
      <c r="I86" s="467">
        <f t="shared" si="39"/>
        <v>0</v>
      </c>
      <c r="J86" s="467">
        <f t="shared" si="39"/>
        <v>0</v>
      </c>
      <c r="K86" s="467">
        <f t="shared" si="39"/>
        <v>0</v>
      </c>
      <c r="L86" s="467">
        <f t="shared" si="39"/>
        <v>0</v>
      </c>
      <c r="M86" s="467">
        <f t="shared" si="39"/>
        <v>0</v>
      </c>
      <c r="N86" s="467">
        <f t="shared" si="39"/>
        <v>0</v>
      </c>
      <c r="O86" s="467">
        <f t="shared" si="39"/>
        <v>0</v>
      </c>
      <c r="P86" s="467">
        <f t="shared" si="39"/>
        <v>0</v>
      </c>
      <c r="Q86" s="468">
        <f t="shared" si="39"/>
        <v>0.25256981244907956</v>
      </c>
      <c r="R86" s="9"/>
    </row>
    <row r="87" spans="1:18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</sheetData>
  <mergeCells count="38">
    <mergeCell ref="C86:D86"/>
    <mergeCell ref="B63:B86"/>
    <mergeCell ref="C65:C71"/>
    <mergeCell ref="C72:C79"/>
    <mergeCell ref="C80:C84"/>
    <mergeCell ref="Q63:Q64"/>
    <mergeCell ref="N63:P63"/>
    <mergeCell ref="C63:D64"/>
    <mergeCell ref="E63:G63"/>
    <mergeCell ref="H63:J63"/>
    <mergeCell ref="K63:M63"/>
    <mergeCell ref="H36:J36"/>
    <mergeCell ref="K36:M36"/>
    <mergeCell ref="N36:P36"/>
    <mergeCell ref="Q36:Q37"/>
    <mergeCell ref="C38:C44"/>
    <mergeCell ref="E36:G36"/>
    <mergeCell ref="C45:C52"/>
    <mergeCell ref="C27:D27"/>
    <mergeCell ref="C28:D28"/>
    <mergeCell ref="C29:D29"/>
    <mergeCell ref="B36:B60"/>
    <mergeCell ref="C36:D37"/>
    <mergeCell ref="C57:C60"/>
    <mergeCell ref="C53:C56"/>
    <mergeCell ref="B2:B8"/>
    <mergeCell ref="C2:D2"/>
    <mergeCell ref="C3:D3"/>
    <mergeCell ref="C4:D4"/>
    <mergeCell ref="B27:B33"/>
    <mergeCell ref="B10:B16"/>
    <mergeCell ref="C10:D10"/>
    <mergeCell ref="C11:D11"/>
    <mergeCell ref="C12:D12"/>
    <mergeCell ref="B18:B24"/>
    <mergeCell ref="C18:D18"/>
    <mergeCell ref="C19:D19"/>
    <mergeCell ref="C20:D2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</sheetPr>
  <dimension ref="A1:Q455"/>
  <sheetViews>
    <sheetView tabSelected="1" zoomScale="90" zoomScaleNormal="90" workbookViewId="0">
      <pane xSplit="7" ySplit="13" topLeftCell="H444" activePane="bottomRight" state="frozen"/>
      <selection activeCell="L116" sqref="L116"/>
      <selection pane="topRight" activeCell="L116" sqref="L116"/>
      <selection pane="bottomLeft" activeCell="L116" sqref="L116"/>
      <selection pane="bottomRight" activeCell="J450" sqref="J450"/>
    </sheetView>
  </sheetViews>
  <sheetFormatPr defaultColWidth="9" defaultRowHeight="20.100000000000001" customHeight="1"/>
  <cols>
    <col min="1" max="1" width="2.125" style="21" customWidth="1"/>
    <col min="2" max="6" width="7.625" style="21" customWidth="1"/>
    <col min="7" max="7" width="25.25" style="21" bestFit="1" customWidth="1"/>
    <col min="8" max="9" width="7.625" style="21" customWidth="1"/>
    <col min="10" max="10" width="7.875" style="21" bestFit="1" customWidth="1"/>
    <col min="11" max="11" width="56.75" style="21" bestFit="1" customWidth="1"/>
    <col min="12" max="12" width="11.5" style="21" customWidth="1"/>
    <col min="13" max="13" width="14.375" style="21" bestFit="1" customWidth="1"/>
    <col min="14" max="14" width="13.625" style="410" bestFit="1" customWidth="1"/>
    <col min="15" max="15" width="30.125" style="361" bestFit="1" customWidth="1"/>
    <col min="16" max="16" width="9" style="21" bestFit="1" customWidth="1"/>
    <col min="17" max="17" width="46.5" style="91" bestFit="1" customWidth="1"/>
    <col min="18" max="16384" width="9" style="21"/>
  </cols>
  <sheetData>
    <row r="1" spans="1:17" ht="13.5" customHeight="1">
      <c r="B1" s="333" t="s">
        <v>1869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409"/>
      <c r="O1" s="360"/>
      <c r="P1" s="22"/>
      <c r="Q1" s="93"/>
    </row>
    <row r="2" spans="1:17" ht="13.5" customHeight="1">
      <c r="A2" s="25"/>
      <c r="B2" s="29" t="s">
        <v>190</v>
      </c>
      <c r="C2" s="29" t="s">
        <v>32</v>
      </c>
      <c r="D2" s="29" t="s">
        <v>1547</v>
      </c>
      <c r="G2" s="28"/>
      <c r="H2" s="28"/>
    </row>
    <row r="3" spans="1:17" ht="13.5" customHeight="1">
      <c r="A3" s="25"/>
      <c r="B3" s="96">
        <v>329</v>
      </c>
      <c r="C3" s="96">
        <f>SUM(H14:H306)</f>
        <v>37243</v>
      </c>
      <c r="D3" s="97">
        <f>(B5+C5)/B3</f>
        <v>0.37386018237082069</v>
      </c>
      <c r="G3" s="28"/>
      <c r="H3" s="28"/>
    </row>
    <row r="4" spans="1:17" ht="13.5" customHeight="1">
      <c r="A4" s="25"/>
      <c r="B4" s="334" t="s">
        <v>106</v>
      </c>
      <c r="C4" s="334" t="s">
        <v>112</v>
      </c>
      <c r="D4" s="334" t="s">
        <v>103</v>
      </c>
      <c r="E4" s="334" t="s">
        <v>237</v>
      </c>
      <c r="F4" s="334" t="s">
        <v>37</v>
      </c>
      <c r="G4" s="28"/>
      <c r="H4" s="28"/>
    </row>
    <row r="5" spans="1:17" ht="13.5" customHeight="1">
      <c r="A5" s="25"/>
      <c r="B5" s="96">
        <v>118</v>
      </c>
      <c r="C5" s="96">
        <v>5</v>
      </c>
      <c r="D5" s="96">
        <v>171</v>
      </c>
      <c r="E5" s="96">
        <v>7</v>
      </c>
      <c r="F5" s="96">
        <v>30</v>
      </c>
      <c r="G5" s="28"/>
      <c r="H5" s="28"/>
    </row>
    <row r="6" spans="1:17" ht="13.5" customHeight="1">
      <c r="B6" s="333" t="s">
        <v>1870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409"/>
      <c r="O6" s="360"/>
      <c r="P6" s="22"/>
      <c r="Q6" s="93"/>
    </row>
    <row r="7" spans="1:17" ht="13.5" customHeight="1">
      <c r="A7" s="25"/>
      <c r="B7" s="29" t="s">
        <v>190</v>
      </c>
      <c r="C7" s="29" t="s">
        <v>32</v>
      </c>
      <c r="D7" s="29" t="s">
        <v>1547</v>
      </c>
      <c r="G7" s="28"/>
      <c r="H7" s="28"/>
    </row>
    <row r="8" spans="1:17" ht="13.5" customHeight="1">
      <c r="A8" s="25"/>
      <c r="B8" s="96">
        <v>97</v>
      </c>
      <c r="C8" s="96">
        <f>SUM(H337:H440)</f>
        <v>8528</v>
      </c>
      <c r="D8" s="97">
        <f>(B10+C10)/B8</f>
        <v>0.39175257731958762</v>
      </c>
      <c r="G8" s="28"/>
      <c r="H8" s="28"/>
    </row>
    <row r="9" spans="1:17" ht="13.5" customHeight="1">
      <c r="A9" s="25"/>
      <c r="B9" s="209" t="s">
        <v>106</v>
      </c>
      <c r="C9" s="210" t="s">
        <v>112</v>
      </c>
      <c r="D9" s="211" t="s">
        <v>103</v>
      </c>
      <c r="E9" s="213" t="s">
        <v>237</v>
      </c>
      <c r="F9" s="212" t="s">
        <v>37</v>
      </c>
      <c r="G9" s="28"/>
      <c r="H9" s="28"/>
    </row>
    <row r="10" spans="1:17" ht="13.5" customHeight="1">
      <c r="A10" s="25"/>
      <c r="B10" s="96">
        <v>32</v>
      </c>
      <c r="C10" s="96">
        <v>6</v>
      </c>
      <c r="D10" s="96">
        <v>55</v>
      </c>
      <c r="E10" s="96"/>
      <c r="F10" s="96"/>
      <c r="G10" s="28"/>
      <c r="H10" s="28"/>
    </row>
    <row r="11" spans="1:17" ht="13.5" customHeight="1">
      <c r="A11" s="25"/>
      <c r="G11" s="28"/>
      <c r="H11" s="28"/>
    </row>
    <row r="12" spans="1:17" s="24" customFormat="1" ht="20.100000000000001" customHeight="1">
      <c r="A12" s="23"/>
      <c r="B12" s="538" t="s">
        <v>96</v>
      </c>
      <c r="C12" s="539"/>
      <c r="D12" s="539"/>
      <c r="E12" s="539"/>
      <c r="F12" s="540"/>
      <c r="G12" s="538" t="s">
        <v>41</v>
      </c>
      <c r="H12" s="539"/>
      <c r="I12" s="540"/>
      <c r="J12" s="538" t="s">
        <v>95</v>
      </c>
      <c r="K12" s="540"/>
      <c r="L12" s="490" t="s">
        <v>2568</v>
      </c>
      <c r="M12" s="538" t="s">
        <v>39</v>
      </c>
      <c r="N12" s="539"/>
      <c r="O12" s="543"/>
      <c r="P12" s="541" t="s">
        <v>191</v>
      </c>
      <c r="Q12" s="536" t="s">
        <v>97</v>
      </c>
    </row>
    <row r="13" spans="1:17" s="24" customFormat="1" ht="20.100000000000001" customHeight="1">
      <c r="A13" s="23"/>
      <c r="B13" s="343" t="s">
        <v>98</v>
      </c>
      <c r="C13" s="343" t="s">
        <v>192</v>
      </c>
      <c r="D13" s="343" t="s">
        <v>193</v>
      </c>
      <c r="E13" s="343" t="s">
        <v>42</v>
      </c>
      <c r="F13" s="343" t="s">
        <v>43</v>
      </c>
      <c r="G13" s="343" t="s">
        <v>44</v>
      </c>
      <c r="H13" s="343" t="s">
        <v>32</v>
      </c>
      <c r="I13" s="343" t="s">
        <v>20</v>
      </c>
      <c r="J13" s="343" t="s">
        <v>45</v>
      </c>
      <c r="K13" s="343" t="s">
        <v>82</v>
      </c>
      <c r="L13" s="343"/>
      <c r="M13" s="343" t="s">
        <v>46</v>
      </c>
      <c r="N13" s="411" t="s">
        <v>47</v>
      </c>
      <c r="O13" s="343" t="s">
        <v>48</v>
      </c>
      <c r="P13" s="542"/>
      <c r="Q13" s="537"/>
    </row>
    <row r="14" spans="1:17" s="48" customFormat="1" ht="20.100000000000001" customHeight="1">
      <c r="B14" s="137" t="s">
        <v>22</v>
      </c>
      <c r="C14" s="138">
        <v>45659</v>
      </c>
      <c r="D14" s="138">
        <v>45659</v>
      </c>
      <c r="E14" s="138"/>
      <c r="F14" s="139" t="s">
        <v>106</v>
      </c>
      <c r="G14" s="140" t="s">
        <v>156</v>
      </c>
      <c r="H14" s="137">
        <v>13</v>
      </c>
      <c r="I14" s="137" t="s">
        <v>194</v>
      </c>
      <c r="J14" s="137" t="s">
        <v>78</v>
      </c>
      <c r="K14" s="137" t="s">
        <v>195</v>
      </c>
      <c r="L14" s="137"/>
      <c r="M14" s="137" t="s">
        <v>196</v>
      </c>
      <c r="N14" s="412" t="s">
        <v>197</v>
      </c>
      <c r="O14" s="362" t="s">
        <v>198</v>
      </c>
      <c r="P14" s="137" t="s">
        <v>84</v>
      </c>
      <c r="Q14" s="141"/>
    </row>
    <row r="15" spans="1:17" ht="20.100000000000001" customHeight="1">
      <c r="B15" s="142" t="s">
        <v>22</v>
      </c>
      <c r="C15" s="143">
        <v>45659</v>
      </c>
      <c r="D15" s="143">
        <v>45659</v>
      </c>
      <c r="E15" s="143"/>
      <c r="F15" s="144" t="s">
        <v>106</v>
      </c>
      <c r="G15" s="145" t="s">
        <v>199</v>
      </c>
      <c r="H15" s="142">
        <v>16</v>
      </c>
      <c r="I15" s="142" t="s">
        <v>200</v>
      </c>
      <c r="J15" s="142" t="s">
        <v>78</v>
      </c>
      <c r="K15" s="142" t="s">
        <v>201</v>
      </c>
      <c r="L15" s="142"/>
      <c r="M15" s="142" t="s">
        <v>202</v>
      </c>
      <c r="N15" s="413" t="s">
        <v>203</v>
      </c>
      <c r="O15" s="155" t="s">
        <v>204</v>
      </c>
      <c r="P15" s="142" t="s">
        <v>84</v>
      </c>
      <c r="Q15" s="146"/>
    </row>
    <row r="16" spans="1:17" ht="20.100000000000001" customHeight="1">
      <c r="B16" s="142" t="s">
        <v>22</v>
      </c>
      <c r="C16" s="143">
        <v>45659</v>
      </c>
      <c r="D16" s="143">
        <v>45659</v>
      </c>
      <c r="E16" s="143"/>
      <c r="F16" s="144" t="s">
        <v>106</v>
      </c>
      <c r="G16" s="145" t="s">
        <v>161</v>
      </c>
      <c r="H16" s="142">
        <v>32</v>
      </c>
      <c r="I16" s="142" t="s">
        <v>200</v>
      </c>
      <c r="J16" s="142" t="s">
        <v>78</v>
      </c>
      <c r="K16" s="142" t="s">
        <v>205</v>
      </c>
      <c r="L16" s="142"/>
      <c r="M16" s="142" t="s">
        <v>202</v>
      </c>
      <c r="N16" s="413" t="s">
        <v>203</v>
      </c>
      <c r="O16" s="155" t="s">
        <v>204</v>
      </c>
      <c r="P16" s="142" t="s">
        <v>84</v>
      </c>
      <c r="Q16" s="146"/>
    </row>
    <row r="17" spans="2:17" ht="20.100000000000001" customHeight="1">
      <c r="B17" s="142" t="s">
        <v>22</v>
      </c>
      <c r="C17" s="143">
        <v>45659</v>
      </c>
      <c r="D17" s="143">
        <v>45659</v>
      </c>
      <c r="E17" s="143"/>
      <c r="F17" s="144" t="s">
        <v>106</v>
      </c>
      <c r="G17" s="145" t="s">
        <v>206</v>
      </c>
      <c r="H17" s="142">
        <v>220</v>
      </c>
      <c r="I17" s="142" t="s">
        <v>200</v>
      </c>
      <c r="J17" s="142" t="s">
        <v>78</v>
      </c>
      <c r="K17" s="142" t="s">
        <v>207</v>
      </c>
      <c r="L17" s="142"/>
      <c r="M17" s="142" t="s">
        <v>202</v>
      </c>
      <c r="N17" s="413" t="s">
        <v>203</v>
      </c>
      <c r="O17" s="155" t="s">
        <v>204</v>
      </c>
      <c r="P17" s="142" t="s">
        <v>84</v>
      </c>
      <c r="Q17" s="146"/>
    </row>
    <row r="18" spans="2:17" ht="20.100000000000001" customHeight="1">
      <c r="B18" s="133" t="s">
        <v>22</v>
      </c>
      <c r="C18" s="134">
        <v>45659</v>
      </c>
      <c r="D18" s="134">
        <v>45659</v>
      </c>
      <c r="E18" s="134"/>
      <c r="F18" s="135" t="s">
        <v>37</v>
      </c>
      <c r="G18" s="126" t="s">
        <v>208</v>
      </c>
      <c r="H18" s="133">
        <v>3</v>
      </c>
      <c r="I18" s="133" t="s">
        <v>209</v>
      </c>
      <c r="J18" s="133" t="s">
        <v>72</v>
      </c>
      <c r="K18" s="133" t="s">
        <v>210</v>
      </c>
      <c r="L18" s="133"/>
      <c r="M18" s="133" t="s">
        <v>211</v>
      </c>
      <c r="N18" s="414" t="s">
        <v>212</v>
      </c>
      <c r="O18" s="175" t="s">
        <v>213</v>
      </c>
      <c r="P18" s="133" t="s">
        <v>84</v>
      </c>
      <c r="Q18" s="164" t="s">
        <v>214</v>
      </c>
    </row>
    <row r="19" spans="2:17" ht="20.100000000000001" customHeight="1">
      <c r="B19" s="142" t="s">
        <v>22</v>
      </c>
      <c r="C19" s="143">
        <v>45659</v>
      </c>
      <c r="D19" s="143">
        <v>45660</v>
      </c>
      <c r="E19" s="143"/>
      <c r="F19" s="144" t="s">
        <v>106</v>
      </c>
      <c r="G19" s="145" t="s">
        <v>157</v>
      </c>
      <c r="H19" s="142">
        <v>3</v>
      </c>
      <c r="I19" s="142" t="s">
        <v>114</v>
      </c>
      <c r="J19" s="142" t="s">
        <v>78</v>
      </c>
      <c r="K19" s="142" t="s">
        <v>215</v>
      </c>
      <c r="L19" s="142"/>
      <c r="M19" s="142" t="s">
        <v>216</v>
      </c>
      <c r="N19" s="413" t="s">
        <v>217</v>
      </c>
      <c r="O19" s="155" t="s">
        <v>218</v>
      </c>
      <c r="P19" s="142" t="s">
        <v>84</v>
      </c>
      <c r="Q19" s="146"/>
    </row>
    <row r="20" spans="2:17" ht="20.100000000000001" customHeight="1">
      <c r="B20" s="142" t="s">
        <v>22</v>
      </c>
      <c r="C20" s="143">
        <v>45660</v>
      </c>
      <c r="D20" s="143">
        <v>45660</v>
      </c>
      <c r="E20" s="143">
        <v>45663</v>
      </c>
      <c r="F20" s="144" t="s">
        <v>106</v>
      </c>
      <c r="G20" s="145" t="s">
        <v>174</v>
      </c>
      <c r="H20" s="142">
        <v>430</v>
      </c>
      <c r="I20" s="142" t="s">
        <v>171</v>
      </c>
      <c r="J20" s="142" t="s">
        <v>72</v>
      </c>
      <c r="K20" s="142" t="s">
        <v>219</v>
      </c>
      <c r="L20" s="142"/>
      <c r="M20" s="142" t="s">
        <v>220</v>
      </c>
      <c r="N20" s="413" t="s">
        <v>221</v>
      </c>
      <c r="O20" s="155" t="s">
        <v>222</v>
      </c>
      <c r="P20" s="142" t="s">
        <v>84</v>
      </c>
      <c r="Q20" s="146"/>
    </row>
    <row r="21" spans="2:17" ht="20.100000000000001" customHeight="1">
      <c r="B21" s="142" t="s">
        <v>22</v>
      </c>
      <c r="C21" s="143">
        <v>45663</v>
      </c>
      <c r="D21" s="143">
        <v>45663</v>
      </c>
      <c r="E21" s="143"/>
      <c r="F21" s="147" t="s">
        <v>106</v>
      </c>
      <c r="G21" s="145" t="s">
        <v>158</v>
      </c>
      <c r="H21" s="142">
        <v>2</v>
      </c>
      <c r="I21" s="142"/>
      <c r="J21" s="142" t="s">
        <v>78</v>
      </c>
      <c r="K21" s="142" t="s">
        <v>223</v>
      </c>
      <c r="L21" s="142"/>
      <c r="M21" s="142" t="s">
        <v>224</v>
      </c>
      <c r="N21" s="415" t="s">
        <v>40</v>
      </c>
      <c r="O21" s="155" t="s">
        <v>225</v>
      </c>
      <c r="P21" s="142" t="s">
        <v>84</v>
      </c>
      <c r="Q21" s="146"/>
    </row>
    <row r="22" spans="2:17" s="22" customFormat="1" ht="20.100000000000001" customHeight="1">
      <c r="B22" s="146" t="s">
        <v>22</v>
      </c>
      <c r="C22" s="148">
        <v>45663</v>
      </c>
      <c r="D22" s="148">
        <v>45663</v>
      </c>
      <c r="E22" s="148"/>
      <c r="F22" s="147" t="s">
        <v>106</v>
      </c>
      <c r="G22" s="149" t="s">
        <v>155</v>
      </c>
      <c r="H22" s="146">
        <v>5</v>
      </c>
      <c r="I22" s="146" t="s">
        <v>226</v>
      </c>
      <c r="J22" s="146" t="s">
        <v>72</v>
      </c>
      <c r="K22" s="146" t="s">
        <v>227</v>
      </c>
      <c r="L22" s="146"/>
      <c r="M22" s="146" t="s">
        <v>228</v>
      </c>
      <c r="N22" s="416" t="s">
        <v>229</v>
      </c>
      <c r="O22" s="363" t="s">
        <v>230</v>
      </c>
      <c r="P22" s="146" t="s">
        <v>84</v>
      </c>
      <c r="Q22" s="146"/>
    </row>
    <row r="23" spans="2:17" s="275" customFormat="1" ht="20.100000000000001" customHeight="1">
      <c r="B23" s="270" t="s">
        <v>22</v>
      </c>
      <c r="C23" s="271">
        <v>45663</v>
      </c>
      <c r="D23" s="271">
        <v>45663</v>
      </c>
      <c r="E23" s="271"/>
      <c r="F23" s="272" t="s">
        <v>37</v>
      </c>
      <c r="G23" s="273" t="s">
        <v>231</v>
      </c>
      <c r="H23" s="270">
        <v>11</v>
      </c>
      <c r="I23" s="270" t="s">
        <v>186</v>
      </c>
      <c r="J23" s="270" t="s">
        <v>78</v>
      </c>
      <c r="K23" s="270" t="s">
        <v>232</v>
      </c>
      <c r="L23" s="270"/>
      <c r="M23" s="270" t="s">
        <v>233</v>
      </c>
      <c r="N23" s="417" t="s">
        <v>234</v>
      </c>
      <c r="O23" s="364" t="s">
        <v>235</v>
      </c>
      <c r="P23" s="270" t="s">
        <v>84</v>
      </c>
      <c r="Q23" s="274" t="s">
        <v>236</v>
      </c>
    </row>
    <row r="24" spans="2:17" ht="20.100000000000001" customHeight="1">
      <c r="B24" s="47" t="s">
        <v>22</v>
      </c>
      <c r="C24" s="50">
        <v>45664</v>
      </c>
      <c r="D24" s="32">
        <v>45666</v>
      </c>
      <c r="E24" s="27"/>
      <c r="F24" s="33" t="s">
        <v>237</v>
      </c>
      <c r="G24" s="34" t="s">
        <v>238</v>
      </c>
      <c r="H24" s="26">
        <v>95</v>
      </c>
      <c r="I24" s="26" t="s">
        <v>239</v>
      </c>
      <c r="J24" s="26" t="s">
        <v>78</v>
      </c>
      <c r="K24" s="26" t="s">
        <v>240</v>
      </c>
      <c r="L24" s="26"/>
      <c r="M24" s="26" t="s">
        <v>241</v>
      </c>
      <c r="N24" s="418" t="s">
        <v>242</v>
      </c>
      <c r="O24" s="30" t="s">
        <v>243</v>
      </c>
      <c r="P24" s="26" t="s">
        <v>84</v>
      </c>
      <c r="Q24" s="35"/>
    </row>
    <row r="25" spans="2:17" ht="20.100000000000001" customHeight="1">
      <c r="B25" s="137" t="s">
        <v>22</v>
      </c>
      <c r="C25" s="150">
        <v>45665</v>
      </c>
      <c r="D25" s="143">
        <v>45671</v>
      </c>
      <c r="E25" s="151">
        <v>45674</v>
      </c>
      <c r="F25" s="144" t="s">
        <v>106</v>
      </c>
      <c r="G25" s="145" t="s">
        <v>244</v>
      </c>
      <c r="H25" s="145">
        <v>70</v>
      </c>
      <c r="I25" s="145" t="s">
        <v>114</v>
      </c>
      <c r="J25" s="145" t="s">
        <v>78</v>
      </c>
      <c r="K25" s="145" t="s">
        <v>245</v>
      </c>
      <c r="L25" s="145"/>
      <c r="M25" s="145" t="s">
        <v>246</v>
      </c>
      <c r="N25" s="419" t="s">
        <v>247</v>
      </c>
      <c r="O25" s="363" t="s">
        <v>248</v>
      </c>
      <c r="P25" s="145" t="s">
        <v>84</v>
      </c>
      <c r="Q25" s="152"/>
    </row>
    <row r="26" spans="2:17" s="22" customFormat="1" ht="20.100000000000001" customHeight="1">
      <c r="B26" s="131" t="s">
        <v>22</v>
      </c>
      <c r="C26" s="165">
        <v>45667</v>
      </c>
      <c r="D26" s="165">
        <v>45670</v>
      </c>
      <c r="E26" s="165"/>
      <c r="F26" s="166" t="s">
        <v>37</v>
      </c>
      <c r="G26" s="167" t="s">
        <v>249</v>
      </c>
      <c r="H26" s="136">
        <v>35</v>
      </c>
      <c r="I26" s="136" t="s">
        <v>209</v>
      </c>
      <c r="J26" s="136" t="s">
        <v>78</v>
      </c>
      <c r="K26" s="136" t="s">
        <v>250</v>
      </c>
      <c r="L26" s="136"/>
      <c r="M26" s="136" t="s">
        <v>251</v>
      </c>
      <c r="N26" s="420" t="s">
        <v>252</v>
      </c>
      <c r="O26" s="364" t="s">
        <v>253</v>
      </c>
      <c r="P26" s="136" t="s">
        <v>84</v>
      </c>
      <c r="Q26" s="164" t="s">
        <v>236</v>
      </c>
    </row>
    <row r="27" spans="2:17" s="49" customFormat="1" ht="20.100000000000001" customHeight="1">
      <c r="B27" s="131" t="s">
        <v>22</v>
      </c>
      <c r="C27" s="168">
        <v>45670</v>
      </c>
      <c r="D27" s="168">
        <v>45670</v>
      </c>
      <c r="E27" s="168"/>
      <c r="F27" s="169" t="s">
        <v>37</v>
      </c>
      <c r="G27" s="170" t="s">
        <v>254</v>
      </c>
      <c r="H27" s="132">
        <v>50</v>
      </c>
      <c r="I27" s="132" t="s">
        <v>255</v>
      </c>
      <c r="J27" s="132" t="s">
        <v>72</v>
      </c>
      <c r="K27" s="132" t="s">
        <v>256</v>
      </c>
      <c r="L27" s="132"/>
      <c r="M27" s="132" t="s">
        <v>257</v>
      </c>
      <c r="N27" s="421" t="s">
        <v>258</v>
      </c>
      <c r="O27" s="364" t="s">
        <v>259</v>
      </c>
      <c r="P27" s="270" t="s">
        <v>84</v>
      </c>
      <c r="Q27" s="171" t="s">
        <v>260</v>
      </c>
    </row>
    <row r="28" spans="2:17" s="22" customFormat="1" ht="20.100000000000001" customHeight="1">
      <c r="B28" s="137" t="s">
        <v>22</v>
      </c>
      <c r="C28" s="148">
        <v>45670</v>
      </c>
      <c r="D28" s="148">
        <v>45672</v>
      </c>
      <c r="E28" s="148"/>
      <c r="F28" s="147" t="s">
        <v>106</v>
      </c>
      <c r="G28" s="149" t="s">
        <v>261</v>
      </c>
      <c r="H28" s="146">
        <v>10</v>
      </c>
      <c r="I28" s="146" t="s">
        <v>34</v>
      </c>
      <c r="J28" s="146" t="s">
        <v>72</v>
      </c>
      <c r="K28" s="146" t="s">
        <v>262</v>
      </c>
      <c r="L28" s="146"/>
      <c r="M28" s="146" t="s">
        <v>263</v>
      </c>
      <c r="N28" s="416" t="s">
        <v>264</v>
      </c>
      <c r="O28" s="363" t="s">
        <v>265</v>
      </c>
      <c r="P28" s="146" t="s">
        <v>84</v>
      </c>
      <c r="Q28" s="146"/>
    </row>
    <row r="29" spans="2:17" ht="20.100000000000001" customHeight="1">
      <c r="B29" s="137" t="s">
        <v>22</v>
      </c>
      <c r="C29" s="150">
        <v>45671</v>
      </c>
      <c r="D29" s="150">
        <v>45672</v>
      </c>
      <c r="E29" s="150"/>
      <c r="F29" s="147" t="s">
        <v>106</v>
      </c>
      <c r="G29" s="150" t="s">
        <v>266</v>
      </c>
      <c r="H29" s="141">
        <v>10</v>
      </c>
      <c r="I29" s="150" t="s">
        <v>209</v>
      </c>
      <c r="J29" s="150" t="s">
        <v>78</v>
      </c>
      <c r="K29" s="150" t="s">
        <v>267</v>
      </c>
      <c r="L29" s="150"/>
      <c r="M29" s="142" t="s">
        <v>268</v>
      </c>
      <c r="N29" s="413" t="s">
        <v>269</v>
      </c>
      <c r="O29" s="365" t="s">
        <v>270</v>
      </c>
      <c r="P29" s="142" t="s">
        <v>84</v>
      </c>
      <c r="Q29" s="142" t="s">
        <v>271</v>
      </c>
    </row>
    <row r="30" spans="2:17" ht="20.100000000000001" customHeight="1">
      <c r="B30" s="131" t="s">
        <v>22</v>
      </c>
      <c r="C30" s="168">
        <v>45671</v>
      </c>
      <c r="D30" s="168">
        <v>45673</v>
      </c>
      <c r="E30" s="168"/>
      <c r="F30" s="168" t="s">
        <v>37</v>
      </c>
      <c r="G30" s="168" t="s">
        <v>272</v>
      </c>
      <c r="H30" s="132">
        <v>50</v>
      </c>
      <c r="I30" s="168" t="s">
        <v>273</v>
      </c>
      <c r="J30" s="168" t="s">
        <v>78</v>
      </c>
      <c r="K30" s="168" t="s">
        <v>274</v>
      </c>
      <c r="L30" s="168"/>
      <c r="M30" s="133" t="s">
        <v>275</v>
      </c>
      <c r="N30" s="414" t="s">
        <v>276</v>
      </c>
      <c r="O30" s="366" t="s">
        <v>277</v>
      </c>
      <c r="P30" s="133" t="s">
        <v>84</v>
      </c>
      <c r="Q30" s="172" t="s">
        <v>236</v>
      </c>
    </row>
    <row r="31" spans="2:17" ht="20.100000000000001" customHeight="1">
      <c r="B31" s="137" t="s">
        <v>22</v>
      </c>
      <c r="C31" s="150">
        <v>45671</v>
      </c>
      <c r="D31" s="143">
        <v>45673</v>
      </c>
      <c r="E31" s="151"/>
      <c r="F31" s="144" t="s">
        <v>106</v>
      </c>
      <c r="G31" s="145" t="s">
        <v>278</v>
      </c>
      <c r="H31" s="145">
        <v>24</v>
      </c>
      <c r="I31" s="145" t="s">
        <v>226</v>
      </c>
      <c r="J31" s="145" t="s">
        <v>72</v>
      </c>
      <c r="K31" s="145" t="s">
        <v>279</v>
      </c>
      <c r="L31" s="145"/>
      <c r="M31" s="145" t="s">
        <v>280</v>
      </c>
      <c r="N31" s="419" t="s">
        <v>281</v>
      </c>
      <c r="O31" s="155" t="s">
        <v>282</v>
      </c>
      <c r="P31" s="145" t="s">
        <v>84</v>
      </c>
      <c r="Q31" s="142"/>
    </row>
    <row r="32" spans="2:17" ht="20.100000000000001" customHeight="1">
      <c r="B32" s="47" t="s">
        <v>22</v>
      </c>
      <c r="C32" s="50">
        <v>45673</v>
      </c>
      <c r="D32" s="32">
        <v>45673</v>
      </c>
      <c r="E32" s="27"/>
      <c r="F32" s="33" t="s">
        <v>103</v>
      </c>
      <c r="G32" s="34" t="s">
        <v>283</v>
      </c>
      <c r="H32" s="34">
        <v>21</v>
      </c>
      <c r="I32" s="34" t="s">
        <v>284</v>
      </c>
      <c r="J32" s="34" t="s">
        <v>72</v>
      </c>
      <c r="K32" s="50" t="s">
        <v>267</v>
      </c>
      <c r="L32" s="50"/>
      <c r="M32" s="34" t="s">
        <v>285</v>
      </c>
      <c r="N32" s="422" t="s">
        <v>286</v>
      </c>
      <c r="O32" s="34" t="s">
        <v>287</v>
      </c>
      <c r="P32" s="34" t="s">
        <v>84</v>
      </c>
      <c r="Q32" s="35"/>
    </row>
    <row r="33" spans="2:17" ht="20.100000000000001" customHeight="1">
      <c r="B33" s="137" t="s">
        <v>22</v>
      </c>
      <c r="C33" s="150">
        <v>45673</v>
      </c>
      <c r="D33" s="143">
        <v>45673</v>
      </c>
      <c r="E33" s="151"/>
      <c r="F33" s="144" t="s">
        <v>106</v>
      </c>
      <c r="G33" s="145" t="s">
        <v>288</v>
      </c>
      <c r="H33" s="145">
        <v>6</v>
      </c>
      <c r="I33" s="145" t="s">
        <v>289</v>
      </c>
      <c r="J33" s="145" t="s">
        <v>72</v>
      </c>
      <c r="K33" s="145" t="s">
        <v>290</v>
      </c>
      <c r="L33" s="145"/>
      <c r="M33" s="145" t="s">
        <v>291</v>
      </c>
      <c r="N33" s="419" t="s">
        <v>292</v>
      </c>
      <c r="O33" s="145" t="s">
        <v>293</v>
      </c>
      <c r="P33" s="145" t="s">
        <v>84</v>
      </c>
      <c r="Q33" s="142"/>
    </row>
    <row r="34" spans="2:17" ht="20.100000000000001" customHeight="1">
      <c r="B34" s="137" t="s">
        <v>22</v>
      </c>
      <c r="C34" s="150">
        <v>45673</v>
      </c>
      <c r="D34" s="143">
        <v>45673</v>
      </c>
      <c r="E34" s="151"/>
      <c r="F34" s="144" t="s">
        <v>106</v>
      </c>
      <c r="G34" s="145" t="s">
        <v>294</v>
      </c>
      <c r="H34" s="145">
        <v>27</v>
      </c>
      <c r="I34" s="145" t="s">
        <v>255</v>
      </c>
      <c r="J34" s="145" t="s">
        <v>78</v>
      </c>
      <c r="K34" s="145" t="s">
        <v>295</v>
      </c>
      <c r="L34" s="145"/>
      <c r="M34" s="145" t="s">
        <v>296</v>
      </c>
      <c r="N34" s="419" t="s">
        <v>297</v>
      </c>
      <c r="O34" s="365" t="s">
        <v>298</v>
      </c>
      <c r="P34" s="145" t="s">
        <v>84</v>
      </c>
      <c r="Q34" s="142"/>
    </row>
    <row r="35" spans="2:17" ht="20.100000000000001" customHeight="1">
      <c r="B35" s="137" t="s">
        <v>22</v>
      </c>
      <c r="C35" s="150">
        <v>45673</v>
      </c>
      <c r="D35" s="143">
        <v>45674</v>
      </c>
      <c r="E35" s="151"/>
      <c r="F35" s="144" t="s">
        <v>106</v>
      </c>
      <c r="G35" s="145" t="s">
        <v>166</v>
      </c>
      <c r="H35" s="145">
        <v>4</v>
      </c>
      <c r="I35" s="145" t="s">
        <v>299</v>
      </c>
      <c r="J35" s="145" t="s">
        <v>78</v>
      </c>
      <c r="K35" s="145" t="s">
        <v>300</v>
      </c>
      <c r="L35" s="145"/>
      <c r="M35" s="145" t="s">
        <v>301</v>
      </c>
      <c r="N35" s="419" t="s">
        <v>302</v>
      </c>
      <c r="O35" s="365" t="s">
        <v>303</v>
      </c>
      <c r="P35" s="145" t="s">
        <v>84</v>
      </c>
      <c r="Q35" s="142"/>
    </row>
    <row r="36" spans="2:17" ht="20.100000000000001" customHeight="1">
      <c r="B36" s="137" t="s">
        <v>22</v>
      </c>
      <c r="C36" s="150">
        <v>45674</v>
      </c>
      <c r="D36" s="143">
        <v>45674</v>
      </c>
      <c r="E36" s="151"/>
      <c r="F36" s="144" t="s">
        <v>106</v>
      </c>
      <c r="G36" s="145" t="s">
        <v>304</v>
      </c>
      <c r="H36" s="145">
        <v>3</v>
      </c>
      <c r="I36" s="145" t="s">
        <v>305</v>
      </c>
      <c r="J36" s="145" t="s">
        <v>78</v>
      </c>
      <c r="K36" s="145" t="s">
        <v>306</v>
      </c>
      <c r="L36" s="145"/>
      <c r="M36" s="145" t="s">
        <v>307</v>
      </c>
      <c r="N36" s="419" t="s">
        <v>308</v>
      </c>
      <c r="O36" s="365" t="s">
        <v>309</v>
      </c>
      <c r="P36" s="145" t="s">
        <v>84</v>
      </c>
      <c r="Q36" s="142"/>
    </row>
    <row r="37" spans="2:17" ht="20.100000000000001" customHeight="1">
      <c r="B37" s="137" t="s">
        <v>22</v>
      </c>
      <c r="C37" s="150">
        <v>45674</v>
      </c>
      <c r="D37" s="143">
        <v>45678</v>
      </c>
      <c r="E37" s="151"/>
      <c r="F37" s="144" t="s">
        <v>106</v>
      </c>
      <c r="G37" s="145" t="s">
        <v>172</v>
      </c>
      <c r="H37" s="145">
        <v>60</v>
      </c>
      <c r="I37" s="145" t="s">
        <v>34</v>
      </c>
      <c r="J37" s="145" t="s">
        <v>78</v>
      </c>
      <c r="K37" s="145" t="s">
        <v>310</v>
      </c>
      <c r="L37" s="145"/>
      <c r="M37" s="145" t="s">
        <v>311</v>
      </c>
      <c r="N37" s="419" t="s">
        <v>312</v>
      </c>
      <c r="O37" s="365" t="s">
        <v>313</v>
      </c>
      <c r="P37" s="145" t="s">
        <v>84</v>
      </c>
      <c r="Q37" s="152"/>
    </row>
    <row r="38" spans="2:17" ht="20.100000000000001" customHeight="1">
      <c r="B38" s="47" t="s">
        <v>22</v>
      </c>
      <c r="C38" s="50">
        <v>45677</v>
      </c>
      <c r="D38" s="32">
        <v>45678</v>
      </c>
      <c r="E38" s="27"/>
      <c r="F38" s="33" t="s">
        <v>103</v>
      </c>
      <c r="G38" s="34" t="s">
        <v>314</v>
      </c>
      <c r="H38" s="34">
        <v>6</v>
      </c>
      <c r="I38" s="34" t="s">
        <v>209</v>
      </c>
      <c r="J38" s="34" t="s">
        <v>72</v>
      </c>
      <c r="K38" s="50" t="s">
        <v>267</v>
      </c>
      <c r="L38" s="50"/>
      <c r="M38" s="34" t="s">
        <v>315</v>
      </c>
      <c r="N38" s="422" t="s">
        <v>316</v>
      </c>
      <c r="O38" s="31" t="s">
        <v>317</v>
      </c>
      <c r="P38" s="34" t="s">
        <v>84</v>
      </c>
      <c r="Q38" s="35"/>
    </row>
    <row r="39" spans="2:17" ht="20.100000000000001" customHeight="1">
      <c r="B39" s="47" t="s">
        <v>22</v>
      </c>
      <c r="C39" s="50">
        <v>45677</v>
      </c>
      <c r="D39" s="32">
        <v>45678</v>
      </c>
      <c r="E39" s="27"/>
      <c r="F39" s="33" t="s">
        <v>103</v>
      </c>
      <c r="G39" s="34" t="s">
        <v>318</v>
      </c>
      <c r="H39" s="34">
        <v>15</v>
      </c>
      <c r="I39" s="34" t="s">
        <v>34</v>
      </c>
      <c r="J39" s="34" t="s">
        <v>72</v>
      </c>
      <c r="K39" s="34" t="s">
        <v>319</v>
      </c>
      <c r="L39" s="34"/>
      <c r="M39" s="34" t="s">
        <v>320</v>
      </c>
      <c r="N39" s="422" t="s">
        <v>321</v>
      </c>
      <c r="O39" s="31" t="s">
        <v>322</v>
      </c>
      <c r="P39" s="34" t="s">
        <v>84</v>
      </c>
      <c r="Q39" s="35"/>
    </row>
    <row r="40" spans="2:17" ht="20.100000000000001" customHeight="1">
      <c r="B40" s="47" t="s">
        <v>22</v>
      </c>
      <c r="C40" s="50">
        <v>45678</v>
      </c>
      <c r="D40" s="32">
        <v>45678</v>
      </c>
      <c r="E40" s="27"/>
      <c r="F40" s="33" t="s">
        <v>103</v>
      </c>
      <c r="G40" s="34" t="s">
        <v>323</v>
      </c>
      <c r="H40" s="34">
        <v>22</v>
      </c>
      <c r="I40" s="34" t="s">
        <v>324</v>
      </c>
      <c r="J40" s="34" t="s">
        <v>72</v>
      </c>
      <c r="K40" s="34" t="s">
        <v>325</v>
      </c>
      <c r="L40" s="34"/>
      <c r="M40" s="34" t="s">
        <v>326</v>
      </c>
      <c r="N40" s="422" t="s">
        <v>327</v>
      </c>
      <c r="O40" s="34" t="s">
        <v>328</v>
      </c>
      <c r="P40" s="34" t="s">
        <v>84</v>
      </c>
      <c r="Q40" s="35"/>
    </row>
    <row r="41" spans="2:17" ht="20.100000000000001" customHeight="1">
      <c r="B41" s="137" t="s">
        <v>22</v>
      </c>
      <c r="C41" s="150">
        <v>45678</v>
      </c>
      <c r="D41" s="143">
        <v>45679</v>
      </c>
      <c r="E41" s="151"/>
      <c r="F41" s="144" t="s">
        <v>106</v>
      </c>
      <c r="G41" s="145" t="s">
        <v>329</v>
      </c>
      <c r="H41" s="145">
        <v>36</v>
      </c>
      <c r="I41" s="145" t="s">
        <v>330</v>
      </c>
      <c r="J41" s="145" t="s">
        <v>78</v>
      </c>
      <c r="K41" s="145" t="s">
        <v>331</v>
      </c>
      <c r="L41" s="145"/>
      <c r="M41" s="145" t="s">
        <v>332</v>
      </c>
      <c r="N41" s="419" t="s">
        <v>333</v>
      </c>
      <c r="O41" s="365" t="s">
        <v>334</v>
      </c>
      <c r="P41" s="145" t="s">
        <v>84</v>
      </c>
      <c r="Q41" s="152"/>
    </row>
    <row r="42" spans="2:17" ht="20.100000000000001" customHeight="1">
      <c r="B42" s="137" t="s">
        <v>22</v>
      </c>
      <c r="C42" s="150">
        <v>45678</v>
      </c>
      <c r="D42" s="143">
        <v>45679</v>
      </c>
      <c r="E42" s="151"/>
      <c r="F42" s="144" t="s">
        <v>106</v>
      </c>
      <c r="G42" s="145" t="s">
        <v>63</v>
      </c>
      <c r="H42" s="145">
        <v>4</v>
      </c>
      <c r="I42" s="145" t="s">
        <v>289</v>
      </c>
      <c r="J42" s="145" t="s">
        <v>72</v>
      </c>
      <c r="K42" s="145" t="s">
        <v>335</v>
      </c>
      <c r="L42" s="145"/>
      <c r="M42" s="145" t="s">
        <v>336</v>
      </c>
      <c r="N42" s="419" t="s">
        <v>337</v>
      </c>
      <c r="O42" s="365" t="s">
        <v>338</v>
      </c>
      <c r="P42" s="145" t="s">
        <v>84</v>
      </c>
      <c r="Q42" s="152"/>
    </row>
    <row r="43" spans="2:17" ht="20.100000000000001" customHeight="1">
      <c r="B43" s="137" t="s">
        <v>22</v>
      </c>
      <c r="C43" s="150">
        <v>45678</v>
      </c>
      <c r="D43" s="143">
        <v>45678</v>
      </c>
      <c r="E43" s="151"/>
      <c r="F43" s="144" t="s">
        <v>106</v>
      </c>
      <c r="G43" s="145" t="s">
        <v>339</v>
      </c>
      <c r="H43" s="145">
        <v>10</v>
      </c>
      <c r="I43" s="145" t="s">
        <v>226</v>
      </c>
      <c r="J43" s="145" t="s">
        <v>72</v>
      </c>
      <c r="K43" s="150" t="s">
        <v>267</v>
      </c>
      <c r="L43" s="150"/>
      <c r="M43" s="145" t="s">
        <v>340</v>
      </c>
      <c r="N43" s="419" t="s">
        <v>341</v>
      </c>
      <c r="O43" s="365" t="s">
        <v>342</v>
      </c>
      <c r="P43" s="145" t="s">
        <v>84</v>
      </c>
      <c r="Q43" s="152"/>
    </row>
    <row r="44" spans="2:17" ht="20.100000000000001" customHeight="1">
      <c r="B44" s="137" t="s">
        <v>22</v>
      </c>
      <c r="C44" s="150">
        <v>45679</v>
      </c>
      <c r="D44" s="143">
        <v>45680</v>
      </c>
      <c r="E44" s="151"/>
      <c r="F44" s="144" t="s">
        <v>106</v>
      </c>
      <c r="G44" s="145" t="s">
        <v>343</v>
      </c>
      <c r="H44" s="145">
        <v>15</v>
      </c>
      <c r="I44" s="145" t="s">
        <v>114</v>
      </c>
      <c r="J44" s="145" t="s">
        <v>185</v>
      </c>
      <c r="K44" s="145" t="s">
        <v>344</v>
      </c>
      <c r="L44" s="145"/>
      <c r="M44" s="145" t="s">
        <v>345</v>
      </c>
      <c r="N44" s="419" t="s">
        <v>346</v>
      </c>
      <c r="O44" s="145" t="s">
        <v>347</v>
      </c>
      <c r="P44" s="145" t="s">
        <v>84</v>
      </c>
      <c r="Q44" s="152"/>
    </row>
    <row r="45" spans="2:17" ht="20.100000000000001" customHeight="1">
      <c r="B45" s="137" t="s">
        <v>22</v>
      </c>
      <c r="C45" s="150">
        <v>45679</v>
      </c>
      <c r="D45" s="143">
        <v>45679</v>
      </c>
      <c r="E45" s="151"/>
      <c r="F45" s="144" t="s">
        <v>106</v>
      </c>
      <c r="G45" s="145" t="s">
        <v>64</v>
      </c>
      <c r="H45" s="145">
        <v>20</v>
      </c>
      <c r="I45" s="145" t="s">
        <v>299</v>
      </c>
      <c r="J45" s="145" t="s">
        <v>78</v>
      </c>
      <c r="K45" s="145" t="s">
        <v>348</v>
      </c>
      <c r="L45" s="145"/>
      <c r="M45" s="145" t="s">
        <v>349</v>
      </c>
      <c r="N45" s="419" t="s">
        <v>350</v>
      </c>
      <c r="O45" s="145" t="s">
        <v>351</v>
      </c>
      <c r="P45" s="145" t="s">
        <v>84</v>
      </c>
      <c r="Q45" s="152"/>
    </row>
    <row r="46" spans="2:17" ht="20.100000000000001" customHeight="1">
      <c r="B46" s="137" t="s">
        <v>22</v>
      </c>
      <c r="C46" s="150">
        <v>45679</v>
      </c>
      <c r="D46" s="143">
        <v>45680</v>
      </c>
      <c r="E46" s="151"/>
      <c r="F46" s="144" t="s">
        <v>106</v>
      </c>
      <c r="G46" s="145" t="s">
        <v>80</v>
      </c>
      <c r="H46" s="145">
        <v>120</v>
      </c>
      <c r="I46" s="145" t="s">
        <v>169</v>
      </c>
      <c r="J46" s="145" t="s">
        <v>78</v>
      </c>
      <c r="K46" s="145" t="s">
        <v>352</v>
      </c>
      <c r="L46" s="145"/>
      <c r="M46" s="145" t="s">
        <v>353</v>
      </c>
      <c r="N46" s="419" t="s">
        <v>354</v>
      </c>
      <c r="O46" s="145" t="s">
        <v>355</v>
      </c>
      <c r="P46" s="145" t="s">
        <v>84</v>
      </c>
      <c r="Q46" s="152"/>
    </row>
    <row r="47" spans="2:17" ht="20.100000000000001" customHeight="1">
      <c r="B47" s="137" t="s">
        <v>22</v>
      </c>
      <c r="C47" s="150">
        <v>45680</v>
      </c>
      <c r="D47" s="143">
        <v>45681</v>
      </c>
      <c r="E47" s="151"/>
      <c r="F47" s="144" t="s">
        <v>106</v>
      </c>
      <c r="G47" s="145" t="s">
        <v>176</v>
      </c>
      <c r="H47" s="145">
        <v>3</v>
      </c>
      <c r="I47" s="145" t="s">
        <v>273</v>
      </c>
      <c r="J47" s="145" t="s">
        <v>78</v>
      </c>
      <c r="K47" s="150" t="s">
        <v>267</v>
      </c>
      <c r="L47" s="150"/>
      <c r="M47" s="145" t="s">
        <v>356</v>
      </c>
      <c r="N47" s="419" t="s">
        <v>357</v>
      </c>
      <c r="O47" s="145" t="s">
        <v>358</v>
      </c>
      <c r="P47" s="145" t="s">
        <v>84</v>
      </c>
      <c r="Q47" s="152"/>
    </row>
    <row r="48" spans="2:17" s="91" customFormat="1" ht="20.100000000000001" customHeight="1">
      <c r="B48" s="137" t="s">
        <v>22</v>
      </c>
      <c r="C48" s="153">
        <v>45681</v>
      </c>
      <c r="D48" s="154">
        <v>45681</v>
      </c>
      <c r="E48" s="154"/>
      <c r="F48" s="155" t="s">
        <v>106</v>
      </c>
      <c r="G48" s="155" t="s">
        <v>359</v>
      </c>
      <c r="H48" s="155">
        <v>130</v>
      </c>
      <c r="I48" s="155" t="s">
        <v>299</v>
      </c>
      <c r="J48" s="155" t="s">
        <v>72</v>
      </c>
      <c r="K48" s="155" t="s">
        <v>360</v>
      </c>
      <c r="L48" s="155"/>
      <c r="M48" s="155" t="s">
        <v>361</v>
      </c>
      <c r="N48" s="423" t="s">
        <v>362</v>
      </c>
      <c r="O48" s="155" t="s">
        <v>363</v>
      </c>
      <c r="P48" s="155" t="s">
        <v>84</v>
      </c>
      <c r="Q48" s="152"/>
    </row>
    <row r="49" spans="2:17" s="89" customFormat="1" ht="20.100000000000001" customHeight="1">
      <c r="B49" s="156" t="s">
        <v>22</v>
      </c>
      <c r="C49" s="157">
        <v>45688</v>
      </c>
      <c r="D49" s="157">
        <v>45691</v>
      </c>
      <c r="E49" s="157"/>
      <c r="F49" s="158" t="s">
        <v>106</v>
      </c>
      <c r="G49" s="159" t="s">
        <v>168</v>
      </c>
      <c r="H49" s="156">
        <v>45</v>
      </c>
      <c r="I49" s="156" t="s">
        <v>114</v>
      </c>
      <c r="J49" s="156" t="s">
        <v>185</v>
      </c>
      <c r="K49" s="156" t="s">
        <v>364</v>
      </c>
      <c r="L49" s="156"/>
      <c r="M49" s="156" t="s">
        <v>365</v>
      </c>
      <c r="N49" s="424" t="s">
        <v>366</v>
      </c>
      <c r="O49" s="367" t="s">
        <v>367</v>
      </c>
      <c r="P49" s="156" t="s">
        <v>84</v>
      </c>
      <c r="Q49" s="156"/>
    </row>
    <row r="50" spans="2:17" ht="20.100000000000001" customHeight="1">
      <c r="B50" s="131" t="s">
        <v>1</v>
      </c>
      <c r="C50" s="173">
        <v>45691</v>
      </c>
      <c r="D50" s="174">
        <v>45695</v>
      </c>
      <c r="E50" s="174"/>
      <c r="F50" s="175" t="s">
        <v>37</v>
      </c>
      <c r="G50" s="175" t="s">
        <v>368</v>
      </c>
      <c r="H50" s="175">
        <v>100</v>
      </c>
      <c r="I50" s="175" t="s">
        <v>369</v>
      </c>
      <c r="J50" s="175" t="s">
        <v>72</v>
      </c>
      <c r="K50" s="175" t="s">
        <v>370</v>
      </c>
      <c r="L50" s="175"/>
      <c r="M50" s="175" t="s">
        <v>371</v>
      </c>
      <c r="N50" s="425" t="s">
        <v>372</v>
      </c>
      <c r="O50" s="175" t="s">
        <v>373</v>
      </c>
      <c r="P50" s="175" t="s">
        <v>84</v>
      </c>
      <c r="Q50" s="172" t="s">
        <v>214</v>
      </c>
    </row>
    <row r="51" spans="2:17" ht="20.100000000000001" customHeight="1">
      <c r="B51" s="47" t="s">
        <v>1</v>
      </c>
      <c r="C51" s="50">
        <v>45691</v>
      </c>
      <c r="D51" s="32">
        <v>45692</v>
      </c>
      <c r="E51" s="27"/>
      <c r="F51" s="33" t="s">
        <v>103</v>
      </c>
      <c r="G51" s="176" t="s">
        <v>374</v>
      </c>
      <c r="H51" s="176">
        <v>200</v>
      </c>
      <c r="I51" s="34" t="s">
        <v>375</v>
      </c>
      <c r="J51" s="34" t="s">
        <v>72</v>
      </c>
      <c r="K51" s="50" t="s">
        <v>376</v>
      </c>
      <c r="L51" s="50"/>
      <c r="M51" s="34" t="s">
        <v>377</v>
      </c>
      <c r="N51" s="422" t="s">
        <v>378</v>
      </c>
      <c r="O51" s="34" t="s">
        <v>379</v>
      </c>
      <c r="P51" s="34" t="s">
        <v>84</v>
      </c>
      <c r="Q51" s="35"/>
    </row>
    <row r="52" spans="2:17" ht="20.100000000000001" customHeight="1">
      <c r="B52" s="137" t="s">
        <v>1</v>
      </c>
      <c r="C52" s="150">
        <v>45694</v>
      </c>
      <c r="D52" s="143">
        <v>45694</v>
      </c>
      <c r="E52" s="151"/>
      <c r="F52" s="144" t="s">
        <v>106</v>
      </c>
      <c r="G52" s="145" t="s">
        <v>167</v>
      </c>
      <c r="H52" s="145">
        <v>5</v>
      </c>
      <c r="I52" s="145" t="s">
        <v>114</v>
      </c>
      <c r="J52" s="145" t="s">
        <v>78</v>
      </c>
      <c r="K52" s="145" t="s">
        <v>380</v>
      </c>
      <c r="L52" s="145"/>
      <c r="M52" s="145" t="s">
        <v>381</v>
      </c>
      <c r="N52" s="419" t="s">
        <v>382</v>
      </c>
      <c r="O52" s="145" t="s">
        <v>383</v>
      </c>
      <c r="P52" s="145" t="s">
        <v>84</v>
      </c>
      <c r="Q52" s="152"/>
    </row>
    <row r="53" spans="2:17" ht="20.100000000000001" customHeight="1">
      <c r="B53" s="137" t="s">
        <v>1</v>
      </c>
      <c r="C53" s="150">
        <v>45698</v>
      </c>
      <c r="D53" s="143">
        <v>45699</v>
      </c>
      <c r="E53" s="151"/>
      <c r="F53" s="144" t="s">
        <v>106</v>
      </c>
      <c r="G53" s="145" t="s">
        <v>173</v>
      </c>
      <c r="H53" s="145">
        <v>20</v>
      </c>
      <c r="I53" s="145" t="s">
        <v>114</v>
      </c>
      <c r="J53" s="145" t="s">
        <v>78</v>
      </c>
      <c r="K53" s="145" t="s">
        <v>384</v>
      </c>
      <c r="L53" s="145"/>
      <c r="M53" s="145" t="s">
        <v>385</v>
      </c>
      <c r="N53" s="419" t="s">
        <v>386</v>
      </c>
      <c r="O53" s="145" t="s">
        <v>387</v>
      </c>
      <c r="P53" s="145" t="s">
        <v>84</v>
      </c>
      <c r="Q53" s="152"/>
    </row>
    <row r="54" spans="2:17" ht="20.100000000000001" customHeight="1">
      <c r="B54" s="137" t="s">
        <v>1</v>
      </c>
      <c r="C54" s="150">
        <v>45698</v>
      </c>
      <c r="D54" s="143">
        <v>45698</v>
      </c>
      <c r="E54" s="151"/>
      <c r="F54" s="144" t="s">
        <v>106</v>
      </c>
      <c r="G54" s="145" t="s">
        <v>388</v>
      </c>
      <c r="H54" s="145">
        <v>120</v>
      </c>
      <c r="I54" s="145" t="s">
        <v>389</v>
      </c>
      <c r="J54" s="145" t="s">
        <v>78</v>
      </c>
      <c r="K54" s="145" t="s">
        <v>390</v>
      </c>
      <c r="L54" s="145"/>
      <c r="M54" s="145" t="s">
        <v>391</v>
      </c>
      <c r="N54" s="419" t="s">
        <v>392</v>
      </c>
      <c r="O54" s="145" t="s">
        <v>393</v>
      </c>
      <c r="P54" s="145" t="s">
        <v>84</v>
      </c>
      <c r="Q54" s="152"/>
    </row>
    <row r="55" spans="2:17" ht="20.100000000000001" customHeight="1">
      <c r="B55" s="188" t="s">
        <v>1</v>
      </c>
      <c r="C55" s="189">
        <v>45699</v>
      </c>
      <c r="D55" s="190">
        <v>45700</v>
      </c>
      <c r="E55" s="191"/>
      <c r="F55" s="192" t="s">
        <v>103</v>
      </c>
      <c r="G55" s="193" t="s">
        <v>394</v>
      </c>
      <c r="H55" s="193">
        <v>1000</v>
      </c>
      <c r="I55" s="193" t="s">
        <v>395</v>
      </c>
      <c r="J55" s="193" t="s">
        <v>72</v>
      </c>
      <c r="K55" s="194" t="s">
        <v>396</v>
      </c>
      <c r="L55" s="194"/>
      <c r="M55" s="193" t="s">
        <v>397</v>
      </c>
      <c r="N55" s="426" t="s">
        <v>398</v>
      </c>
      <c r="O55" s="195" t="s">
        <v>399</v>
      </c>
      <c r="P55" s="193" t="s">
        <v>84</v>
      </c>
      <c r="Q55" s="196"/>
    </row>
    <row r="56" spans="2:17" ht="20.100000000000001" customHeight="1">
      <c r="B56" s="137" t="s">
        <v>1</v>
      </c>
      <c r="C56" s="150">
        <v>45699</v>
      </c>
      <c r="D56" s="143">
        <v>45700</v>
      </c>
      <c r="E56" s="151"/>
      <c r="F56" s="144" t="s">
        <v>106</v>
      </c>
      <c r="G56" s="145" t="s">
        <v>400</v>
      </c>
      <c r="H56" s="145">
        <v>30</v>
      </c>
      <c r="I56" s="145" t="s">
        <v>108</v>
      </c>
      <c r="J56" s="145" t="s">
        <v>78</v>
      </c>
      <c r="K56" s="160" t="s">
        <v>267</v>
      </c>
      <c r="L56" s="160"/>
      <c r="M56" s="145" t="s">
        <v>401</v>
      </c>
      <c r="N56" s="419" t="s">
        <v>402</v>
      </c>
      <c r="O56" s="145" t="s">
        <v>403</v>
      </c>
      <c r="P56" s="145" t="s">
        <v>84</v>
      </c>
      <c r="Q56" s="152"/>
    </row>
    <row r="57" spans="2:17" ht="20.100000000000001" customHeight="1">
      <c r="B57" s="131" t="s">
        <v>1</v>
      </c>
      <c r="C57" s="168">
        <v>45700</v>
      </c>
      <c r="D57" s="134">
        <v>45701</v>
      </c>
      <c r="E57" s="177"/>
      <c r="F57" s="135" t="s">
        <v>37</v>
      </c>
      <c r="G57" s="126" t="s">
        <v>404</v>
      </c>
      <c r="H57" s="126">
        <v>180</v>
      </c>
      <c r="I57" s="126" t="s">
        <v>114</v>
      </c>
      <c r="J57" s="126" t="s">
        <v>78</v>
      </c>
      <c r="K57" s="168" t="s">
        <v>405</v>
      </c>
      <c r="L57" s="168"/>
      <c r="M57" s="126" t="s">
        <v>406</v>
      </c>
      <c r="N57" s="427" t="s">
        <v>407</v>
      </c>
      <c r="O57" s="126" t="s">
        <v>408</v>
      </c>
      <c r="P57" s="126" t="s">
        <v>84</v>
      </c>
      <c r="Q57" s="172"/>
    </row>
    <row r="58" spans="2:17" ht="20.100000000000001" customHeight="1">
      <c r="B58" s="131" t="s">
        <v>1</v>
      </c>
      <c r="C58" s="134">
        <v>45700</v>
      </c>
      <c r="D58" s="134">
        <v>45700</v>
      </c>
      <c r="E58" s="177"/>
      <c r="F58" s="135" t="s">
        <v>37</v>
      </c>
      <c r="G58" s="126" t="s">
        <v>409</v>
      </c>
      <c r="H58" s="126">
        <v>6</v>
      </c>
      <c r="I58" s="126" t="s">
        <v>330</v>
      </c>
      <c r="J58" s="126" t="s">
        <v>72</v>
      </c>
      <c r="K58" s="126" t="s">
        <v>410</v>
      </c>
      <c r="L58" s="126"/>
      <c r="M58" s="126" t="s">
        <v>411</v>
      </c>
      <c r="N58" s="427" t="s">
        <v>412</v>
      </c>
      <c r="O58" s="126" t="s">
        <v>413</v>
      </c>
      <c r="P58" s="126" t="s">
        <v>84</v>
      </c>
      <c r="Q58" s="172" t="s">
        <v>260</v>
      </c>
    </row>
    <row r="59" spans="2:17" ht="20.100000000000001" customHeight="1">
      <c r="B59" s="137" t="s">
        <v>1</v>
      </c>
      <c r="C59" s="143">
        <v>45701</v>
      </c>
      <c r="D59" s="143">
        <v>45701</v>
      </c>
      <c r="E59" s="151"/>
      <c r="F59" s="144" t="s">
        <v>106</v>
      </c>
      <c r="G59" s="145" t="s">
        <v>414</v>
      </c>
      <c r="H59" s="145">
        <v>40</v>
      </c>
      <c r="I59" s="145" t="s">
        <v>178</v>
      </c>
      <c r="J59" s="145" t="s">
        <v>78</v>
      </c>
      <c r="K59" s="145" t="s">
        <v>415</v>
      </c>
      <c r="L59" s="145"/>
      <c r="M59" s="145" t="s">
        <v>416</v>
      </c>
      <c r="N59" s="419" t="s">
        <v>417</v>
      </c>
      <c r="O59" s="145" t="s">
        <v>418</v>
      </c>
      <c r="P59" s="145" t="s">
        <v>84</v>
      </c>
      <c r="Q59" s="152"/>
    </row>
    <row r="60" spans="2:17" ht="20.100000000000001" customHeight="1">
      <c r="B60" s="47" t="s">
        <v>1</v>
      </c>
      <c r="C60" s="32">
        <v>45701</v>
      </c>
      <c r="D60" s="32">
        <v>45702</v>
      </c>
      <c r="E60" s="27"/>
      <c r="F60" s="33" t="s">
        <v>103</v>
      </c>
      <c r="G60" s="34" t="s">
        <v>419</v>
      </c>
      <c r="H60" s="34">
        <v>60</v>
      </c>
      <c r="I60" s="34" t="s">
        <v>299</v>
      </c>
      <c r="J60" s="34" t="s">
        <v>78</v>
      </c>
      <c r="K60" s="34" t="s">
        <v>420</v>
      </c>
      <c r="L60" s="34"/>
      <c r="M60" s="34" t="s">
        <v>421</v>
      </c>
      <c r="N60" s="422" t="s">
        <v>422</v>
      </c>
      <c r="O60" s="34" t="s">
        <v>423</v>
      </c>
      <c r="P60" s="34" t="s">
        <v>84</v>
      </c>
      <c r="Q60" s="35"/>
    </row>
    <row r="61" spans="2:17" ht="20.100000000000001" customHeight="1">
      <c r="B61" s="47" t="s">
        <v>1</v>
      </c>
      <c r="C61" s="32">
        <v>45701</v>
      </c>
      <c r="D61" s="32">
        <v>45705</v>
      </c>
      <c r="E61" s="27"/>
      <c r="F61" s="33" t="s">
        <v>103</v>
      </c>
      <c r="G61" s="34" t="s">
        <v>424</v>
      </c>
      <c r="H61" s="34">
        <v>30</v>
      </c>
      <c r="I61" s="34" t="s">
        <v>226</v>
      </c>
      <c r="J61" s="34" t="s">
        <v>78</v>
      </c>
      <c r="K61" s="34" t="s">
        <v>267</v>
      </c>
      <c r="L61" s="34"/>
      <c r="M61" s="34" t="s">
        <v>425</v>
      </c>
      <c r="N61" s="422" t="s">
        <v>426</v>
      </c>
      <c r="O61" s="34" t="s">
        <v>427</v>
      </c>
      <c r="P61" s="34" t="s">
        <v>84</v>
      </c>
      <c r="Q61" s="35"/>
    </row>
    <row r="62" spans="2:17" ht="20.100000000000001" customHeight="1">
      <c r="B62" s="47" t="s">
        <v>1</v>
      </c>
      <c r="C62" s="32">
        <v>45701</v>
      </c>
      <c r="D62" s="32">
        <v>45702</v>
      </c>
      <c r="E62" s="27"/>
      <c r="F62" s="33" t="s">
        <v>103</v>
      </c>
      <c r="G62" s="34" t="s">
        <v>428</v>
      </c>
      <c r="H62" s="34">
        <v>40</v>
      </c>
      <c r="I62" s="34" t="s">
        <v>429</v>
      </c>
      <c r="J62" s="34" t="s">
        <v>72</v>
      </c>
      <c r="K62" s="34" t="s">
        <v>267</v>
      </c>
      <c r="L62" s="34"/>
      <c r="M62" s="34" t="s">
        <v>430</v>
      </c>
      <c r="N62" s="422" t="s">
        <v>431</v>
      </c>
      <c r="O62" s="57" t="s">
        <v>432</v>
      </c>
      <c r="P62" s="34" t="s">
        <v>84</v>
      </c>
      <c r="Q62" s="35"/>
    </row>
    <row r="63" spans="2:17" ht="20.100000000000001" customHeight="1">
      <c r="B63" s="47" t="s">
        <v>1</v>
      </c>
      <c r="C63" s="32">
        <v>45702</v>
      </c>
      <c r="D63" s="32">
        <v>45702</v>
      </c>
      <c r="E63" s="27"/>
      <c r="F63" s="33" t="s">
        <v>103</v>
      </c>
      <c r="G63" s="34" t="s">
        <v>433</v>
      </c>
      <c r="H63" s="34">
        <v>20</v>
      </c>
      <c r="I63" s="34" t="s">
        <v>177</v>
      </c>
      <c r="J63" s="34" t="s">
        <v>72</v>
      </c>
      <c r="K63" s="34" t="s">
        <v>267</v>
      </c>
      <c r="L63" s="34"/>
      <c r="M63" s="34" t="s">
        <v>434</v>
      </c>
      <c r="N63" s="422" t="s">
        <v>435</v>
      </c>
      <c r="O63" s="34" t="s">
        <v>436</v>
      </c>
      <c r="P63" s="34" t="s">
        <v>84</v>
      </c>
      <c r="Q63" s="35"/>
    </row>
    <row r="64" spans="2:17" ht="20.100000000000001" customHeight="1">
      <c r="B64" s="137" t="s">
        <v>1</v>
      </c>
      <c r="C64" s="143">
        <v>45706</v>
      </c>
      <c r="D64" s="143">
        <v>45706</v>
      </c>
      <c r="E64" s="151"/>
      <c r="F64" s="144" t="s">
        <v>106</v>
      </c>
      <c r="G64" s="145" t="s">
        <v>437</v>
      </c>
      <c r="H64" s="145">
        <v>80</v>
      </c>
      <c r="I64" s="145" t="s">
        <v>438</v>
      </c>
      <c r="J64" s="145" t="s">
        <v>78</v>
      </c>
      <c r="K64" s="145" t="s">
        <v>439</v>
      </c>
      <c r="L64" s="145"/>
      <c r="M64" s="145" t="s">
        <v>440</v>
      </c>
      <c r="N64" s="419" t="s">
        <v>441</v>
      </c>
      <c r="O64" s="145" t="s">
        <v>442</v>
      </c>
      <c r="P64" s="145" t="s">
        <v>84</v>
      </c>
      <c r="Q64" s="152"/>
    </row>
    <row r="65" spans="2:17" ht="20.100000000000001" customHeight="1">
      <c r="B65" s="137" t="s">
        <v>1</v>
      </c>
      <c r="C65" s="143">
        <v>45707</v>
      </c>
      <c r="D65" s="143">
        <v>45708</v>
      </c>
      <c r="E65" s="151"/>
      <c r="F65" s="144" t="s">
        <v>106</v>
      </c>
      <c r="G65" s="145" t="s">
        <v>175</v>
      </c>
      <c r="H65" s="145">
        <v>25</v>
      </c>
      <c r="I65" s="145" t="s">
        <v>429</v>
      </c>
      <c r="J65" s="145" t="s">
        <v>78</v>
      </c>
      <c r="K65" s="145" t="s">
        <v>443</v>
      </c>
      <c r="L65" s="145"/>
      <c r="M65" s="145" t="s">
        <v>444</v>
      </c>
      <c r="N65" s="419" t="s">
        <v>445</v>
      </c>
      <c r="O65" s="145" t="s">
        <v>446</v>
      </c>
      <c r="P65" s="145" t="s">
        <v>84</v>
      </c>
      <c r="Q65" s="152"/>
    </row>
    <row r="66" spans="2:17" ht="20.100000000000001" customHeight="1">
      <c r="B66" s="131" t="s">
        <v>1</v>
      </c>
      <c r="C66" s="134">
        <v>45707</v>
      </c>
      <c r="D66" s="134">
        <v>45708</v>
      </c>
      <c r="E66" s="177"/>
      <c r="F66" s="135" t="s">
        <v>37</v>
      </c>
      <c r="G66" s="126" t="s">
        <v>447</v>
      </c>
      <c r="H66" s="126">
        <v>1400</v>
      </c>
      <c r="I66" s="126" t="s">
        <v>448</v>
      </c>
      <c r="J66" s="126" t="s">
        <v>78</v>
      </c>
      <c r="K66" s="126" t="s">
        <v>449</v>
      </c>
      <c r="L66" s="126"/>
      <c r="M66" s="126" t="s">
        <v>450</v>
      </c>
      <c r="N66" s="427" t="s">
        <v>451</v>
      </c>
      <c r="O66" s="126" t="s">
        <v>452</v>
      </c>
      <c r="P66" s="126" t="s">
        <v>84</v>
      </c>
      <c r="Q66" s="172"/>
    </row>
    <row r="67" spans="2:17" ht="20.100000000000001" customHeight="1">
      <c r="B67" s="131" t="s">
        <v>1</v>
      </c>
      <c r="C67" s="134">
        <v>45708</v>
      </c>
      <c r="D67" s="134">
        <v>45708</v>
      </c>
      <c r="E67" s="177"/>
      <c r="F67" s="135" t="s">
        <v>37</v>
      </c>
      <c r="G67" s="126" t="s">
        <v>453</v>
      </c>
      <c r="H67" s="126">
        <v>10</v>
      </c>
      <c r="I67" s="126" t="s">
        <v>209</v>
      </c>
      <c r="J67" s="126" t="s">
        <v>72</v>
      </c>
      <c r="K67" s="126" t="s">
        <v>454</v>
      </c>
      <c r="L67" s="126"/>
      <c r="M67" s="126" t="s">
        <v>455</v>
      </c>
      <c r="N67" s="427" t="s">
        <v>456</v>
      </c>
      <c r="O67" s="126" t="s">
        <v>457</v>
      </c>
      <c r="P67" s="126" t="s">
        <v>84</v>
      </c>
      <c r="Q67" s="172"/>
    </row>
    <row r="68" spans="2:17" ht="20.100000000000001" customHeight="1">
      <c r="B68" s="137" t="s">
        <v>1</v>
      </c>
      <c r="C68" s="143">
        <v>45710</v>
      </c>
      <c r="D68" s="143">
        <v>45712</v>
      </c>
      <c r="E68" s="151"/>
      <c r="F68" s="144" t="s">
        <v>106</v>
      </c>
      <c r="G68" s="145" t="s">
        <v>458</v>
      </c>
      <c r="H68" s="145">
        <v>120</v>
      </c>
      <c r="I68" s="145" t="s">
        <v>114</v>
      </c>
      <c r="J68" s="145" t="s">
        <v>78</v>
      </c>
      <c r="K68" s="145" t="s">
        <v>267</v>
      </c>
      <c r="L68" s="145"/>
      <c r="M68" s="145" t="s">
        <v>459</v>
      </c>
      <c r="N68" s="419" t="s">
        <v>460</v>
      </c>
      <c r="O68" s="145" t="s">
        <v>461</v>
      </c>
      <c r="P68" s="145" t="s">
        <v>84</v>
      </c>
      <c r="Q68" s="152"/>
    </row>
    <row r="69" spans="2:17" ht="20.100000000000001" customHeight="1">
      <c r="B69" s="137" t="s">
        <v>1</v>
      </c>
      <c r="C69" s="143">
        <v>45712</v>
      </c>
      <c r="D69" s="143">
        <v>45713</v>
      </c>
      <c r="E69" s="151"/>
      <c r="F69" s="144" t="s">
        <v>106</v>
      </c>
      <c r="G69" s="145" t="s">
        <v>462</v>
      </c>
      <c r="H69" s="145">
        <v>24</v>
      </c>
      <c r="I69" s="145" t="s">
        <v>34</v>
      </c>
      <c r="J69" s="145" t="s">
        <v>78</v>
      </c>
      <c r="K69" s="145" t="s">
        <v>463</v>
      </c>
      <c r="L69" s="145"/>
      <c r="M69" s="145" t="s">
        <v>464</v>
      </c>
      <c r="N69" s="419" t="s">
        <v>465</v>
      </c>
      <c r="O69" s="145" t="s">
        <v>466</v>
      </c>
      <c r="P69" s="145" t="s">
        <v>84</v>
      </c>
      <c r="Q69" s="152"/>
    </row>
    <row r="70" spans="2:17" ht="20.100000000000001" customHeight="1">
      <c r="B70" s="137" t="s">
        <v>1</v>
      </c>
      <c r="C70" s="143">
        <v>45713</v>
      </c>
      <c r="D70" s="143">
        <v>45715</v>
      </c>
      <c r="E70" s="151"/>
      <c r="F70" s="144" t="s">
        <v>106</v>
      </c>
      <c r="G70" s="145" t="s">
        <v>467</v>
      </c>
      <c r="H70" s="145">
        <v>5</v>
      </c>
      <c r="I70" s="145" t="s">
        <v>171</v>
      </c>
      <c r="J70" s="145" t="s">
        <v>78</v>
      </c>
      <c r="K70" s="145" t="s">
        <v>468</v>
      </c>
      <c r="L70" s="145"/>
      <c r="M70" s="145" t="s">
        <v>469</v>
      </c>
      <c r="N70" s="419" t="s">
        <v>470</v>
      </c>
      <c r="O70" s="145" t="s">
        <v>471</v>
      </c>
      <c r="P70" s="145" t="s">
        <v>84</v>
      </c>
      <c r="Q70" s="152"/>
    </row>
    <row r="71" spans="2:17" ht="20.100000000000001" customHeight="1">
      <c r="B71" s="137" t="s">
        <v>1</v>
      </c>
      <c r="C71" s="143">
        <v>45713</v>
      </c>
      <c r="D71" s="143">
        <v>45715</v>
      </c>
      <c r="E71" s="151"/>
      <c r="F71" s="144" t="s">
        <v>106</v>
      </c>
      <c r="G71" s="145" t="s">
        <v>472</v>
      </c>
      <c r="H71" s="145">
        <v>8</v>
      </c>
      <c r="I71" s="145" t="s">
        <v>34</v>
      </c>
      <c r="J71" s="145" t="s">
        <v>78</v>
      </c>
      <c r="K71" s="145" t="s">
        <v>473</v>
      </c>
      <c r="L71" s="145"/>
      <c r="M71" s="145" t="s">
        <v>474</v>
      </c>
      <c r="N71" s="428" t="s">
        <v>1793</v>
      </c>
      <c r="O71" s="145" t="s">
        <v>475</v>
      </c>
      <c r="P71" s="145" t="s">
        <v>84</v>
      </c>
      <c r="Q71" s="152"/>
    </row>
    <row r="72" spans="2:17" ht="20.100000000000001" customHeight="1">
      <c r="B72" s="47" t="s">
        <v>1</v>
      </c>
      <c r="C72" s="32">
        <v>45714</v>
      </c>
      <c r="D72" s="32">
        <v>45715</v>
      </c>
      <c r="E72" s="27"/>
      <c r="F72" s="33" t="s">
        <v>103</v>
      </c>
      <c r="G72" s="34" t="s">
        <v>477</v>
      </c>
      <c r="H72" s="34">
        <v>20</v>
      </c>
      <c r="I72" s="34" t="s">
        <v>194</v>
      </c>
      <c r="J72" s="34" t="s">
        <v>72</v>
      </c>
      <c r="K72" s="34" t="s">
        <v>478</v>
      </c>
      <c r="L72" s="34"/>
      <c r="M72" s="34" t="s">
        <v>479</v>
      </c>
      <c r="N72" s="422" t="s">
        <v>480</v>
      </c>
      <c r="O72" s="34" t="s">
        <v>481</v>
      </c>
      <c r="P72" s="34" t="s">
        <v>84</v>
      </c>
      <c r="Q72" s="35"/>
    </row>
    <row r="73" spans="2:17" ht="20.100000000000001" customHeight="1">
      <c r="B73" s="47" t="s">
        <v>1</v>
      </c>
      <c r="C73" s="32">
        <v>45714</v>
      </c>
      <c r="D73" s="32">
        <v>45715</v>
      </c>
      <c r="E73" s="27"/>
      <c r="F73" s="33" t="s">
        <v>103</v>
      </c>
      <c r="G73" s="34" t="s">
        <v>482</v>
      </c>
      <c r="H73" s="34">
        <v>130</v>
      </c>
      <c r="I73" s="34" t="s">
        <v>483</v>
      </c>
      <c r="J73" s="34" t="s">
        <v>78</v>
      </c>
      <c r="K73" s="34" t="s">
        <v>484</v>
      </c>
      <c r="L73" s="34"/>
      <c r="M73" s="34" t="s">
        <v>485</v>
      </c>
      <c r="N73" s="422" t="s">
        <v>486</v>
      </c>
      <c r="O73" s="34" t="s">
        <v>487</v>
      </c>
      <c r="P73" s="34" t="s">
        <v>84</v>
      </c>
      <c r="Q73" s="35"/>
    </row>
    <row r="74" spans="2:17" s="91" customFormat="1" ht="20.100000000000001" customHeight="1">
      <c r="B74" s="47" t="s">
        <v>1</v>
      </c>
      <c r="C74" s="92">
        <v>45716</v>
      </c>
      <c r="D74" s="92">
        <v>45716</v>
      </c>
      <c r="E74" s="92">
        <v>45720</v>
      </c>
      <c r="F74" s="30" t="s">
        <v>103</v>
      </c>
      <c r="G74" s="30" t="s">
        <v>488</v>
      </c>
      <c r="H74" s="95" t="s">
        <v>81</v>
      </c>
      <c r="I74" s="94" t="s">
        <v>81</v>
      </c>
      <c r="J74" s="30" t="s">
        <v>78</v>
      </c>
      <c r="K74" s="30" t="s">
        <v>489</v>
      </c>
      <c r="L74" s="30"/>
      <c r="M74" s="30" t="s">
        <v>490</v>
      </c>
      <c r="N74" s="429" t="s">
        <v>491</v>
      </c>
      <c r="O74" s="30" t="s">
        <v>492</v>
      </c>
      <c r="P74" s="30" t="s">
        <v>84</v>
      </c>
      <c r="Q74" s="35" t="s">
        <v>493</v>
      </c>
    </row>
    <row r="75" spans="2:17" ht="20.100000000000001" customHeight="1">
      <c r="B75" s="137" t="s">
        <v>1</v>
      </c>
      <c r="C75" s="143">
        <v>45716</v>
      </c>
      <c r="D75" s="143">
        <v>45720</v>
      </c>
      <c r="E75" s="151"/>
      <c r="F75" s="144" t="s">
        <v>106</v>
      </c>
      <c r="G75" s="145" t="s">
        <v>179</v>
      </c>
      <c r="H75" s="145">
        <v>200</v>
      </c>
      <c r="I75" s="145" t="s">
        <v>171</v>
      </c>
      <c r="J75" s="145" t="s">
        <v>78</v>
      </c>
      <c r="K75" s="145" t="s">
        <v>494</v>
      </c>
      <c r="L75" s="145"/>
      <c r="M75" s="145" t="s">
        <v>495</v>
      </c>
      <c r="N75" s="419" t="s">
        <v>496</v>
      </c>
      <c r="O75" s="145" t="s">
        <v>497</v>
      </c>
      <c r="P75" s="145" t="s">
        <v>84</v>
      </c>
      <c r="Q75" s="152"/>
    </row>
    <row r="76" spans="2:17" ht="20.100000000000001" customHeight="1">
      <c r="B76" s="137" t="s">
        <v>1</v>
      </c>
      <c r="C76" s="143">
        <v>45716</v>
      </c>
      <c r="D76" s="143">
        <v>45716</v>
      </c>
      <c r="E76" s="151"/>
      <c r="F76" s="144" t="s">
        <v>106</v>
      </c>
      <c r="G76" s="145" t="s">
        <v>498</v>
      </c>
      <c r="H76" s="145">
        <v>80</v>
      </c>
      <c r="I76" s="145" t="s">
        <v>499</v>
      </c>
      <c r="J76" s="145" t="s">
        <v>78</v>
      </c>
      <c r="K76" s="145" t="s">
        <v>267</v>
      </c>
      <c r="L76" s="145"/>
      <c r="M76" s="145" t="s">
        <v>500</v>
      </c>
      <c r="N76" s="419" t="s">
        <v>501</v>
      </c>
      <c r="O76" s="145" t="s">
        <v>502</v>
      </c>
      <c r="P76" s="145" t="s">
        <v>84</v>
      </c>
      <c r="Q76" s="152"/>
    </row>
    <row r="77" spans="2:17" ht="20.100000000000001" customHeight="1">
      <c r="B77" s="51" t="s">
        <v>18</v>
      </c>
      <c r="C77" s="32">
        <v>45720</v>
      </c>
      <c r="D77" s="32">
        <v>45720</v>
      </c>
      <c r="E77" s="27"/>
      <c r="F77" s="33" t="s">
        <v>103</v>
      </c>
      <c r="G77" s="34" t="s">
        <v>503</v>
      </c>
      <c r="H77" s="34">
        <v>10</v>
      </c>
      <c r="I77" s="34" t="s">
        <v>504</v>
      </c>
      <c r="J77" s="34" t="s">
        <v>72</v>
      </c>
      <c r="K77" s="34" t="s">
        <v>505</v>
      </c>
      <c r="L77" s="34"/>
      <c r="M77" s="34" t="s">
        <v>506</v>
      </c>
      <c r="N77" s="422" t="s">
        <v>507</v>
      </c>
      <c r="O77" s="34"/>
      <c r="P77" s="34" t="s">
        <v>84</v>
      </c>
      <c r="Q77" s="35"/>
    </row>
    <row r="78" spans="2:17" ht="20.100000000000001" customHeight="1">
      <c r="B78" s="51" t="s">
        <v>18</v>
      </c>
      <c r="C78" s="32">
        <v>45720</v>
      </c>
      <c r="D78" s="32">
        <v>45720</v>
      </c>
      <c r="E78" s="27"/>
      <c r="F78" s="33" t="s">
        <v>103</v>
      </c>
      <c r="G78" s="34" t="s">
        <v>508</v>
      </c>
      <c r="H78" s="34">
        <v>200</v>
      </c>
      <c r="I78" s="34" t="s">
        <v>114</v>
      </c>
      <c r="J78" s="34" t="s">
        <v>78</v>
      </c>
      <c r="K78" s="34" t="s">
        <v>267</v>
      </c>
      <c r="L78" s="34"/>
      <c r="M78" s="34" t="s">
        <v>509</v>
      </c>
      <c r="N78" s="422" t="s">
        <v>510</v>
      </c>
      <c r="O78" s="30" t="s">
        <v>511</v>
      </c>
      <c r="P78" s="34" t="s">
        <v>84</v>
      </c>
      <c r="Q78" s="35"/>
    </row>
    <row r="79" spans="2:17" ht="20.100000000000001" customHeight="1">
      <c r="B79" s="51" t="s">
        <v>18</v>
      </c>
      <c r="C79" s="32">
        <v>45720</v>
      </c>
      <c r="D79" s="32">
        <v>45720</v>
      </c>
      <c r="E79" s="27"/>
      <c r="F79" s="33" t="s">
        <v>103</v>
      </c>
      <c r="G79" s="34" t="s">
        <v>512</v>
      </c>
      <c r="H79" s="34">
        <v>45</v>
      </c>
      <c r="I79" s="34" t="s">
        <v>114</v>
      </c>
      <c r="J79" s="34" t="s">
        <v>72</v>
      </c>
      <c r="K79" s="34" t="s">
        <v>513</v>
      </c>
      <c r="L79" s="34"/>
      <c r="M79" s="34" t="s">
        <v>514</v>
      </c>
      <c r="N79" s="422" t="s">
        <v>515</v>
      </c>
      <c r="O79" s="30" t="s">
        <v>516</v>
      </c>
      <c r="P79" s="34" t="s">
        <v>84</v>
      </c>
      <c r="Q79" s="35"/>
    </row>
    <row r="80" spans="2:17" ht="20.100000000000001" customHeight="1">
      <c r="B80" s="161" t="s">
        <v>18</v>
      </c>
      <c r="C80" s="143">
        <v>45721</v>
      </c>
      <c r="D80" s="143">
        <v>45721</v>
      </c>
      <c r="E80" s="151"/>
      <c r="F80" s="144" t="s">
        <v>106</v>
      </c>
      <c r="G80" s="145" t="s">
        <v>180</v>
      </c>
      <c r="H80" s="145">
        <v>12</v>
      </c>
      <c r="I80" s="145" t="s">
        <v>226</v>
      </c>
      <c r="J80" s="145" t="s">
        <v>72</v>
      </c>
      <c r="K80" s="145" t="s">
        <v>517</v>
      </c>
      <c r="L80" s="145"/>
      <c r="M80" s="145" t="s">
        <v>518</v>
      </c>
      <c r="N80" s="419" t="s">
        <v>519</v>
      </c>
      <c r="O80" s="155" t="s">
        <v>520</v>
      </c>
      <c r="P80" s="145" t="s">
        <v>84</v>
      </c>
      <c r="Q80" s="152"/>
    </row>
    <row r="81" spans="2:17" ht="20.100000000000001" customHeight="1">
      <c r="B81" s="161" t="s">
        <v>18</v>
      </c>
      <c r="C81" s="143">
        <v>45722</v>
      </c>
      <c r="D81" s="143">
        <v>45722</v>
      </c>
      <c r="E81" s="151"/>
      <c r="F81" s="144" t="s">
        <v>106</v>
      </c>
      <c r="G81" s="145" t="s">
        <v>521</v>
      </c>
      <c r="H81" s="145">
        <v>40</v>
      </c>
      <c r="I81" s="145" t="s">
        <v>114</v>
      </c>
      <c r="J81" s="145" t="s">
        <v>72</v>
      </c>
      <c r="K81" s="145" t="s">
        <v>522</v>
      </c>
      <c r="L81" s="145"/>
      <c r="M81" s="145" t="s">
        <v>523</v>
      </c>
      <c r="N81" s="419" t="s">
        <v>524</v>
      </c>
      <c r="O81" s="155" t="s">
        <v>525</v>
      </c>
      <c r="P81" s="145" t="s">
        <v>84</v>
      </c>
      <c r="Q81" s="152"/>
    </row>
    <row r="82" spans="2:17" ht="20.100000000000001" customHeight="1">
      <c r="B82" s="161" t="s">
        <v>18</v>
      </c>
      <c r="C82" s="143">
        <v>45723</v>
      </c>
      <c r="D82" s="143">
        <v>45723</v>
      </c>
      <c r="E82" s="151"/>
      <c r="F82" s="144" t="s">
        <v>106</v>
      </c>
      <c r="G82" s="145" t="s">
        <v>526</v>
      </c>
      <c r="H82" s="145">
        <v>8</v>
      </c>
      <c r="I82" s="145" t="s">
        <v>114</v>
      </c>
      <c r="J82" s="145" t="s">
        <v>72</v>
      </c>
      <c r="K82" s="145" t="s">
        <v>527</v>
      </c>
      <c r="L82" s="145"/>
      <c r="M82" s="145" t="s">
        <v>528</v>
      </c>
      <c r="N82" s="419" t="s">
        <v>529</v>
      </c>
      <c r="O82" s="155" t="s">
        <v>530</v>
      </c>
      <c r="P82" s="145" t="s">
        <v>84</v>
      </c>
      <c r="Q82" s="152"/>
    </row>
    <row r="83" spans="2:17" ht="20.100000000000001" customHeight="1">
      <c r="B83" s="161" t="s">
        <v>18</v>
      </c>
      <c r="C83" s="143">
        <v>45727</v>
      </c>
      <c r="D83" s="143">
        <v>45727</v>
      </c>
      <c r="E83" s="151"/>
      <c r="F83" s="144" t="s">
        <v>106</v>
      </c>
      <c r="G83" s="145" t="s">
        <v>531</v>
      </c>
      <c r="H83" s="145">
        <v>20</v>
      </c>
      <c r="I83" s="145" t="s">
        <v>226</v>
      </c>
      <c r="J83" s="145" t="s">
        <v>72</v>
      </c>
      <c r="K83" s="145" t="s">
        <v>532</v>
      </c>
      <c r="L83" s="145"/>
      <c r="M83" s="145" t="s">
        <v>533</v>
      </c>
      <c r="N83" s="419" t="s">
        <v>534</v>
      </c>
      <c r="O83" s="155" t="s">
        <v>535</v>
      </c>
      <c r="P83" s="145" t="s">
        <v>84</v>
      </c>
      <c r="Q83" s="152"/>
    </row>
    <row r="84" spans="2:17" ht="20.100000000000001" customHeight="1">
      <c r="B84" s="161" t="s">
        <v>18</v>
      </c>
      <c r="C84" s="143">
        <v>45728</v>
      </c>
      <c r="D84" s="143">
        <v>45728</v>
      </c>
      <c r="E84" s="151"/>
      <c r="F84" s="144" t="s">
        <v>106</v>
      </c>
      <c r="G84" s="145" t="s">
        <v>181</v>
      </c>
      <c r="H84" s="145">
        <v>100</v>
      </c>
      <c r="I84" s="145" t="s">
        <v>114</v>
      </c>
      <c r="J84" s="145" t="s">
        <v>78</v>
      </c>
      <c r="K84" s="145" t="s">
        <v>267</v>
      </c>
      <c r="L84" s="145"/>
      <c r="M84" s="145" t="s">
        <v>536</v>
      </c>
      <c r="N84" s="419" t="s">
        <v>537</v>
      </c>
      <c r="O84" s="155" t="s">
        <v>538</v>
      </c>
      <c r="P84" s="145" t="s">
        <v>84</v>
      </c>
      <c r="Q84" s="152"/>
    </row>
    <row r="85" spans="2:17" ht="20.100000000000001" customHeight="1">
      <c r="B85" s="161" t="s">
        <v>18</v>
      </c>
      <c r="C85" s="143">
        <v>45728</v>
      </c>
      <c r="D85" s="143">
        <v>45729</v>
      </c>
      <c r="E85" s="151"/>
      <c r="F85" s="144" t="s">
        <v>106</v>
      </c>
      <c r="G85" s="145" t="s">
        <v>184</v>
      </c>
      <c r="H85" s="145">
        <v>100</v>
      </c>
      <c r="I85" s="145" t="s">
        <v>226</v>
      </c>
      <c r="J85" s="145" t="s">
        <v>78</v>
      </c>
      <c r="K85" s="145" t="s">
        <v>539</v>
      </c>
      <c r="L85" s="145"/>
      <c r="M85" s="145" t="s">
        <v>540</v>
      </c>
      <c r="N85" s="419" t="s">
        <v>541</v>
      </c>
      <c r="O85" s="155" t="s">
        <v>542</v>
      </c>
      <c r="P85" s="145" t="s">
        <v>84</v>
      </c>
      <c r="Q85" s="152"/>
    </row>
    <row r="86" spans="2:17" ht="20.100000000000001" customHeight="1">
      <c r="B86" s="161" t="s">
        <v>18</v>
      </c>
      <c r="C86" s="143">
        <v>45733</v>
      </c>
      <c r="D86" s="143">
        <v>45736</v>
      </c>
      <c r="E86" s="151"/>
      <c r="F86" s="144" t="s">
        <v>106</v>
      </c>
      <c r="G86" s="145" t="s">
        <v>543</v>
      </c>
      <c r="H86" s="145">
        <v>1</v>
      </c>
      <c r="I86" s="145" t="s">
        <v>544</v>
      </c>
      <c r="J86" s="145" t="s">
        <v>78</v>
      </c>
      <c r="K86" s="145" t="s">
        <v>545</v>
      </c>
      <c r="L86" s="145"/>
      <c r="M86" s="145" t="s">
        <v>546</v>
      </c>
      <c r="N86" s="419" t="s">
        <v>547</v>
      </c>
      <c r="O86" s="155" t="s">
        <v>548</v>
      </c>
      <c r="P86" s="145" t="s">
        <v>84</v>
      </c>
      <c r="Q86" s="152"/>
    </row>
    <row r="87" spans="2:17" ht="20.100000000000001" customHeight="1">
      <c r="B87" s="51" t="s">
        <v>18</v>
      </c>
      <c r="C87" s="32">
        <v>45734</v>
      </c>
      <c r="D87" s="32">
        <v>45736</v>
      </c>
      <c r="E87" s="27"/>
      <c r="F87" s="33" t="s">
        <v>103</v>
      </c>
      <c r="G87" s="34" t="s">
        <v>549</v>
      </c>
      <c r="H87" s="34">
        <v>100</v>
      </c>
      <c r="I87" s="34" t="s">
        <v>255</v>
      </c>
      <c r="J87" s="34" t="s">
        <v>185</v>
      </c>
      <c r="K87" s="34" t="s">
        <v>550</v>
      </c>
      <c r="L87" s="34"/>
      <c r="M87" s="34" t="s">
        <v>551</v>
      </c>
      <c r="N87" s="422" t="s">
        <v>552</v>
      </c>
      <c r="O87" s="30" t="s">
        <v>553</v>
      </c>
      <c r="P87" s="34" t="s">
        <v>84</v>
      </c>
      <c r="Q87" s="35"/>
    </row>
    <row r="88" spans="2:17" ht="20.100000000000001" customHeight="1">
      <c r="B88" s="161" t="s">
        <v>18</v>
      </c>
      <c r="C88" s="143">
        <v>45734</v>
      </c>
      <c r="D88" s="143">
        <v>45734</v>
      </c>
      <c r="E88" s="151"/>
      <c r="F88" s="144" t="s">
        <v>106</v>
      </c>
      <c r="G88" s="145" t="s">
        <v>182</v>
      </c>
      <c r="H88" s="145">
        <v>7</v>
      </c>
      <c r="I88" s="145" t="s">
        <v>171</v>
      </c>
      <c r="J88" s="145" t="s">
        <v>78</v>
      </c>
      <c r="K88" s="145" t="s">
        <v>554</v>
      </c>
      <c r="L88" s="145"/>
      <c r="M88" s="145" t="s">
        <v>555</v>
      </c>
      <c r="N88" s="419" t="s">
        <v>556</v>
      </c>
      <c r="O88" s="155" t="s">
        <v>557</v>
      </c>
      <c r="P88" s="145" t="s">
        <v>84</v>
      </c>
      <c r="Q88" s="152"/>
    </row>
    <row r="89" spans="2:17" ht="20.100000000000001" customHeight="1">
      <c r="B89" s="51" t="s">
        <v>18</v>
      </c>
      <c r="C89" s="32">
        <v>45734</v>
      </c>
      <c r="D89" s="32">
        <v>45734</v>
      </c>
      <c r="E89" s="27"/>
      <c r="F89" s="98" t="s">
        <v>103</v>
      </c>
      <c r="G89" s="34" t="s">
        <v>558</v>
      </c>
      <c r="H89" s="34">
        <v>130</v>
      </c>
      <c r="I89" s="34" t="s">
        <v>178</v>
      </c>
      <c r="J89" s="34" t="s">
        <v>78</v>
      </c>
      <c r="K89" s="34" t="s">
        <v>559</v>
      </c>
      <c r="L89" s="34"/>
      <c r="M89" s="34" t="s">
        <v>560</v>
      </c>
      <c r="N89" s="422" t="s">
        <v>561</v>
      </c>
      <c r="O89" s="30" t="s">
        <v>562</v>
      </c>
      <c r="P89" s="34" t="s">
        <v>84</v>
      </c>
      <c r="Q89" s="35"/>
    </row>
    <row r="90" spans="2:17" ht="20.100000000000001" customHeight="1">
      <c r="B90" s="161" t="s">
        <v>18</v>
      </c>
      <c r="C90" s="143">
        <v>45735</v>
      </c>
      <c r="D90" s="143">
        <v>45735</v>
      </c>
      <c r="E90" s="151"/>
      <c r="F90" s="144" t="s">
        <v>106</v>
      </c>
      <c r="G90" s="145" t="s">
        <v>563</v>
      </c>
      <c r="H90" s="145">
        <v>1</v>
      </c>
      <c r="I90" s="145" t="s">
        <v>289</v>
      </c>
      <c r="J90" s="145" t="s">
        <v>72</v>
      </c>
      <c r="K90" s="145" t="s">
        <v>564</v>
      </c>
      <c r="L90" s="145"/>
      <c r="M90" s="145" t="s">
        <v>565</v>
      </c>
      <c r="N90" s="419" t="s">
        <v>566</v>
      </c>
      <c r="O90" s="155" t="s">
        <v>567</v>
      </c>
      <c r="P90" s="145" t="s">
        <v>84</v>
      </c>
      <c r="Q90" s="152"/>
    </row>
    <row r="91" spans="2:17" ht="20.100000000000001" customHeight="1">
      <c r="B91" s="161" t="s">
        <v>18</v>
      </c>
      <c r="C91" s="143">
        <v>45735</v>
      </c>
      <c r="D91" s="143">
        <v>45736</v>
      </c>
      <c r="E91" s="151"/>
      <c r="F91" s="162" t="s">
        <v>106</v>
      </c>
      <c r="G91" s="145" t="s">
        <v>568</v>
      </c>
      <c r="H91" s="163" t="s">
        <v>81</v>
      </c>
      <c r="I91" s="145" t="s">
        <v>569</v>
      </c>
      <c r="J91" s="145" t="s">
        <v>72</v>
      </c>
      <c r="K91" s="145" t="s">
        <v>570</v>
      </c>
      <c r="L91" s="145"/>
      <c r="M91" s="145" t="s">
        <v>571</v>
      </c>
      <c r="N91" s="419" t="s">
        <v>572</v>
      </c>
      <c r="O91" s="155" t="s">
        <v>573</v>
      </c>
      <c r="P91" s="145" t="s">
        <v>84</v>
      </c>
      <c r="Q91" s="152"/>
    </row>
    <row r="92" spans="2:17" ht="20.100000000000001" customHeight="1">
      <c r="B92" s="178" t="s">
        <v>18</v>
      </c>
      <c r="C92" s="134">
        <v>45736</v>
      </c>
      <c r="D92" s="134">
        <v>45736</v>
      </c>
      <c r="E92" s="177"/>
      <c r="F92" s="179" t="s">
        <v>37</v>
      </c>
      <c r="G92" s="126" t="s">
        <v>574</v>
      </c>
      <c r="H92" s="126">
        <v>350</v>
      </c>
      <c r="I92" s="126" t="s">
        <v>299</v>
      </c>
      <c r="J92" s="126" t="s">
        <v>78</v>
      </c>
      <c r="K92" s="126" t="s">
        <v>575</v>
      </c>
      <c r="L92" s="126"/>
      <c r="M92" s="126" t="s">
        <v>576</v>
      </c>
      <c r="N92" s="427" t="s">
        <v>577</v>
      </c>
      <c r="O92" s="175" t="s">
        <v>578</v>
      </c>
      <c r="P92" s="126" t="s">
        <v>84</v>
      </c>
      <c r="Q92" s="172" t="s">
        <v>1019</v>
      </c>
    </row>
    <row r="93" spans="2:17" ht="20.100000000000001" customHeight="1">
      <c r="B93" s="161" t="s">
        <v>18</v>
      </c>
      <c r="C93" s="143">
        <v>45736</v>
      </c>
      <c r="D93" s="143">
        <v>45736</v>
      </c>
      <c r="E93" s="151"/>
      <c r="F93" s="162" t="s">
        <v>106</v>
      </c>
      <c r="G93" s="145" t="s">
        <v>579</v>
      </c>
      <c r="H93" s="145">
        <v>10</v>
      </c>
      <c r="I93" s="145" t="s">
        <v>580</v>
      </c>
      <c r="J93" s="145" t="s">
        <v>78</v>
      </c>
      <c r="K93" s="145" t="s">
        <v>581</v>
      </c>
      <c r="L93" s="145"/>
      <c r="M93" s="145" t="s">
        <v>582</v>
      </c>
      <c r="N93" s="419" t="s">
        <v>583</v>
      </c>
      <c r="O93" s="155" t="s">
        <v>584</v>
      </c>
      <c r="P93" s="145" t="s">
        <v>84</v>
      </c>
      <c r="Q93" s="152"/>
    </row>
    <row r="94" spans="2:17" ht="20.100000000000001" customHeight="1">
      <c r="B94" s="51" t="s">
        <v>18</v>
      </c>
      <c r="C94" s="32">
        <v>45736</v>
      </c>
      <c r="D94" s="32">
        <v>45736</v>
      </c>
      <c r="E94" s="27"/>
      <c r="F94" s="98" t="s">
        <v>103</v>
      </c>
      <c r="G94" s="34" t="s">
        <v>585</v>
      </c>
      <c r="H94" s="34">
        <v>50</v>
      </c>
      <c r="I94" s="34" t="s">
        <v>586</v>
      </c>
      <c r="J94" s="34" t="s">
        <v>78</v>
      </c>
      <c r="K94" s="34" t="s">
        <v>267</v>
      </c>
      <c r="L94" s="34"/>
      <c r="M94" s="34" t="s">
        <v>587</v>
      </c>
      <c r="N94" s="422" t="s">
        <v>588</v>
      </c>
      <c r="O94" s="30" t="s">
        <v>589</v>
      </c>
      <c r="P94" s="34" t="s">
        <v>84</v>
      </c>
      <c r="Q94" s="35"/>
    </row>
    <row r="95" spans="2:17" ht="20.100000000000001" customHeight="1">
      <c r="B95" s="161" t="s">
        <v>18</v>
      </c>
      <c r="C95" s="143">
        <v>45736</v>
      </c>
      <c r="D95" s="143">
        <v>45736</v>
      </c>
      <c r="E95" s="151"/>
      <c r="F95" s="162" t="s">
        <v>106</v>
      </c>
      <c r="G95" s="145" t="s">
        <v>188</v>
      </c>
      <c r="H95" s="145">
        <v>200</v>
      </c>
      <c r="I95" s="145" t="s">
        <v>114</v>
      </c>
      <c r="J95" s="145" t="s">
        <v>72</v>
      </c>
      <c r="K95" s="145" t="s">
        <v>590</v>
      </c>
      <c r="L95" s="145"/>
      <c r="M95" s="145" t="s">
        <v>591</v>
      </c>
      <c r="N95" s="419" t="s">
        <v>592</v>
      </c>
      <c r="O95" s="155" t="s">
        <v>593</v>
      </c>
      <c r="P95" s="145" t="s">
        <v>84</v>
      </c>
      <c r="Q95" s="152"/>
    </row>
    <row r="96" spans="2:17" ht="20.100000000000001" customHeight="1">
      <c r="B96" s="161" t="s">
        <v>18</v>
      </c>
      <c r="C96" s="143">
        <v>45736</v>
      </c>
      <c r="D96" s="143">
        <v>45737</v>
      </c>
      <c r="E96" s="151"/>
      <c r="F96" s="162" t="s">
        <v>106</v>
      </c>
      <c r="G96" s="145" t="s">
        <v>594</v>
      </c>
      <c r="H96" s="145">
        <v>30</v>
      </c>
      <c r="I96" s="145" t="s">
        <v>186</v>
      </c>
      <c r="J96" s="145" t="s">
        <v>78</v>
      </c>
      <c r="K96" s="145" t="s">
        <v>267</v>
      </c>
      <c r="L96" s="145"/>
      <c r="M96" s="145" t="s">
        <v>595</v>
      </c>
      <c r="N96" s="419" t="s">
        <v>596</v>
      </c>
      <c r="O96" s="155" t="s">
        <v>597</v>
      </c>
      <c r="P96" s="145" t="s">
        <v>84</v>
      </c>
      <c r="Q96" s="152"/>
    </row>
    <row r="97" spans="2:17" ht="20.100000000000001" customHeight="1">
      <c r="B97" s="161" t="s">
        <v>18</v>
      </c>
      <c r="C97" s="143">
        <v>45737</v>
      </c>
      <c r="D97" s="143">
        <v>45737</v>
      </c>
      <c r="E97" s="151"/>
      <c r="F97" s="162" t="s">
        <v>106</v>
      </c>
      <c r="G97" s="145" t="s">
        <v>598</v>
      </c>
      <c r="H97" s="145">
        <v>100</v>
      </c>
      <c r="I97" s="145" t="s">
        <v>299</v>
      </c>
      <c r="J97" s="145" t="s">
        <v>72</v>
      </c>
      <c r="K97" s="145" t="s">
        <v>599</v>
      </c>
      <c r="L97" s="145"/>
      <c r="M97" s="145" t="s">
        <v>600</v>
      </c>
      <c r="N97" s="419" t="s">
        <v>601</v>
      </c>
      <c r="O97" s="155" t="s">
        <v>602</v>
      </c>
      <c r="P97" s="145" t="s">
        <v>84</v>
      </c>
      <c r="Q97" s="152"/>
    </row>
    <row r="98" spans="2:17" ht="20.100000000000001" customHeight="1">
      <c r="B98" s="161" t="s">
        <v>18</v>
      </c>
      <c r="C98" s="143">
        <v>45737</v>
      </c>
      <c r="D98" s="143">
        <v>45737</v>
      </c>
      <c r="E98" s="151"/>
      <c r="F98" s="162" t="s">
        <v>106</v>
      </c>
      <c r="G98" s="145" t="s">
        <v>183</v>
      </c>
      <c r="H98" s="145">
        <v>50</v>
      </c>
      <c r="I98" s="145" t="s">
        <v>171</v>
      </c>
      <c r="J98" s="145" t="s">
        <v>72</v>
      </c>
      <c r="K98" s="145" t="s">
        <v>267</v>
      </c>
      <c r="L98" s="145"/>
      <c r="M98" s="145" t="s">
        <v>603</v>
      </c>
      <c r="N98" s="419" t="s">
        <v>604</v>
      </c>
      <c r="O98" s="155" t="s">
        <v>605</v>
      </c>
      <c r="P98" s="145" t="s">
        <v>84</v>
      </c>
      <c r="Q98" s="152"/>
    </row>
    <row r="99" spans="2:17" ht="20.100000000000001" customHeight="1">
      <c r="B99" s="51" t="s">
        <v>18</v>
      </c>
      <c r="C99" s="32">
        <v>45740</v>
      </c>
      <c r="D99" s="32">
        <v>45741</v>
      </c>
      <c r="E99" s="27"/>
      <c r="F99" s="98" t="s">
        <v>103</v>
      </c>
      <c r="G99" s="34" t="s">
        <v>606</v>
      </c>
      <c r="H99" s="34">
        <v>30</v>
      </c>
      <c r="I99" s="34" t="s">
        <v>114</v>
      </c>
      <c r="J99" s="34" t="s">
        <v>78</v>
      </c>
      <c r="K99" s="34" t="s">
        <v>607</v>
      </c>
      <c r="L99" s="34"/>
      <c r="M99" s="34" t="s">
        <v>608</v>
      </c>
      <c r="N99" s="422" t="s">
        <v>609</v>
      </c>
      <c r="O99" s="30" t="s">
        <v>610</v>
      </c>
      <c r="P99" s="34" t="s">
        <v>84</v>
      </c>
      <c r="Q99" s="35"/>
    </row>
    <row r="100" spans="2:17" ht="20.100000000000001" customHeight="1">
      <c r="B100" s="51" t="s">
        <v>18</v>
      </c>
      <c r="C100" s="32">
        <v>45740</v>
      </c>
      <c r="D100" s="32">
        <v>45740</v>
      </c>
      <c r="E100" s="27"/>
      <c r="F100" s="98" t="s">
        <v>237</v>
      </c>
      <c r="G100" s="176" t="s">
        <v>611</v>
      </c>
      <c r="H100" s="176">
        <v>5000</v>
      </c>
      <c r="I100" s="176" t="s">
        <v>569</v>
      </c>
      <c r="J100" s="34" t="s">
        <v>78</v>
      </c>
      <c r="K100" s="34" t="s">
        <v>612</v>
      </c>
      <c r="L100" s="34"/>
      <c r="M100" s="34" t="s">
        <v>613</v>
      </c>
      <c r="N100" s="422" t="s">
        <v>614</v>
      </c>
      <c r="O100" s="30" t="s">
        <v>615</v>
      </c>
      <c r="P100" s="34" t="s">
        <v>84</v>
      </c>
      <c r="Q100" s="35"/>
    </row>
    <row r="101" spans="2:17" ht="20.100000000000001" customHeight="1">
      <c r="B101" s="51" t="s">
        <v>18</v>
      </c>
      <c r="C101" s="32">
        <v>45740</v>
      </c>
      <c r="D101" s="32">
        <v>45741</v>
      </c>
      <c r="E101" s="27"/>
      <c r="F101" s="98" t="s">
        <v>103</v>
      </c>
      <c r="G101" s="34" t="s">
        <v>616</v>
      </c>
      <c r="H101" s="34">
        <v>21</v>
      </c>
      <c r="I101" s="34" t="s">
        <v>114</v>
      </c>
      <c r="J101" s="34" t="s">
        <v>72</v>
      </c>
      <c r="K101" s="34" t="s">
        <v>617</v>
      </c>
      <c r="L101" s="34"/>
      <c r="M101" s="34" t="s">
        <v>618</v>
      </c>
      <c r="N101" s="422" t="s">
        <v>619</v>
      </c>
      <c r="O101" s="30" t="s">
        <v>620</v>
      </c>
      <c r="P101" s="34" t="s">
        <v>84</v>
      </c>
      <c r="Q101" s="35"/>
    </row>
    <row r="102" spans="2:17" ht="20.100000000000001" customHeight="1">
      <c r="B102" s="161" t="s">
        <v>18</v>
      </c>
      <c r="C102" s="143">
        <v>45742</v>
      </c>
      <c r="D102" s="143">
        <v>45742</v>
      </c>
      <c r="E102" s="151"/>
      <c r="F102" s="162" t="s">
        <v>106</v>
      </c>
      <c r="G102" s="145" t="s">
        <v>621</v>
      </c>
      <c r="H102" s="145">
        <v>14</v>
      </c>
      <c r="I102" s="145" t="s">
        <v>330</v>
      </c>
      <c r="J102" s="145" t="s">
        <v>78</v>
      </c>
      <c r="K102" s="145" t="s">
        <v>622</v>
      </c>
      <c r="L102" s="145"/>
      <c r="M102" s="145" t="s">
        <v>623</v>
      </c>
      <c r="N102" s="419" t="s">
        <v>624</v>
      </c>
      <c r="O102" s="155" t="s">
        <v>625</v>
      </c>
      <c r="P102" s="145" t="s">
        <v>84</v>
      </c>
      <c r="Q102" s="152"/>
    </row>
    <row r="103" spans="2:17" ht="20.100000000000001" customHeight="1">
      <c r="B103" s="51" t="s">
        <v>18</v>
      </c>
      <c r="C103" s="32">
        <v>45743</v>
      </c>
      <c r="D103" s="32">
        <v>45743</v>
      </c>
      <c r="E103" s="27"/>
      <c r="F103" s="98" t="s">
        <v>103</v>
      </c>
      <c r="G103" s="34" t="s">
        <v>626</v>
      </c>
      <c r="H103" s="34">
        <v>20</v>
      </c>
      <c r="I103" s="34" t="s">
        <v>114</v>
      </c>
      <c r="J103" s="34" t="s">
        <v>72</v>
      </c>
      <c r="K103" s="34" t="s">
        <v>627</v>
      </c>
      <c r="L103" s="34"/>
      <c r="M103" s="34" t="s">
        <v>628</v>
      </c>
      <c r="N103" s="422" t="s">
        <v>629</v>
      </c>
      <c r="O103" s="30" t="s">
        <v>630</v>
      </c>
      <c r="P103" s="34" t="s">
        <v>84</v>
      </c>
      <c r="Q103" s="35"/>
    </row>
    <row r="104" spans="2:17" ht="20.100000000000001" customHeight="1">
      <c r="B104" s="51" t="s">
        <v>18</v>
      </c>
      <c r="C104" s="32">
        <v>45743</v>
      </c>
      <c r="D104" s="32">
        <v>45744</v>
      </c>
      <c r="E104" s="27"/>
      <c r="F104" s="98" t="s">
        <v>103</v>
      </c>
      <c r="G104" s="34" t="s">
        <v>631</v>
      </c>
      <c r="H104" s="34">
        <v>35</v>
      </c>
      <c r="I104" s="34" t="s">
        <v>305</v>
      </c>
      <c r="J104" s="34" t="s">
        <v>72</v>
      </c>
      <c r="K104" s="34" t="s">
        <v>632</v>
      </c>
      <c r="L104" s="34"/>
      <c r="M104" s="34" t="s">
        <v>633</v>
      </c>
      <c r="N104" s="422" t="s">
        <v>634</v>
      </c>
      <c r="O104" s="30" t="s">
        <v>635</v>
      </c>
      <c r="P104" s="34" t="s">
        <v>84</v>
      </c>
      <c r="Q104" s="35"/>
    </row>
    <row r="105" spans="2:17" ht="20.100000000000001" customHeight="1">
      <c r="B105" s="161" t="s">
        <v>18</v>
      </c>
      <c r="C105" s="143">
        <v>45744</v>
      </c>
      <c r="D105" s="143">
        <v>45744</v>
      </c>
      <c r="E105" s="151"/>
      <c r="F105" s="162" t="s">
        <v>106</v>
      </c>
      <c r="G105" s="145" t="s">
        <v>636</v>
      </c>
      <c r="H105" s="145">
        <v>50</v>
      </c>
      <c r="I105" s="145" t="s">
        <v>637</v>
      </c>
      <c r="J105" s="145" t="s">
        <v>78</v>
      </c>
      <c r="K105" s="145" t="s">
        <v>638</v>
      </c>
      <c r="L105" s="145"/>
      <c r="M105" s="145" t="s">
        <v>639</v>
      </c>
      <c r="N105" s="419" t="s">
        <v>640</v>
      </c>
      <c r="O105" s="155" t="s">
        <v>605</v>
      </c>
      <c r="P105" s="145" t="s">
        <v>84</v>
      </c>
      <c r="Q105" s="152"/>
    </row>
    <row r="106" spans="2:17" ht="20.100000000000001" customHeight="1">
      <c r="B106" s="51" t="s">
        <v>18</v>
      </c>
      <c r="C106" s="32">
        <v>45747</v>
      </c>
      <c r="D106" s="32">
        <v>45747</v>
      </c>
      <c r="E106" s="27"/>
      <c r="F106" s="98" t="s">
        <v>103</v>
      </c>
      <c r="G106" s="34" t="s">
        <v>641</v>
      </c>
      <c r="H106" s="34">
        <v>20</v>
      </c>
      <c r="I106" s="34" t="s">
        <v>114</v>
      </c>
      <c r="J106" s="34" t="s">
        <v>78</v>
      </c>
      <c r="K106" s="34" t="s">
        <v>267</v>
      </c>
      <c r="L106" s="34"/>
      <c r="M106" s="34" t="s">
        <v>642</v>
      </c>
      <c r="N106" s="422" t="s">
        <v>643</v>
      </c>
      <c r="O106" s="30" t="s">
        <v>644</v>
      </c>
      <c r="P106" s="34" t="s">
        <v>84</v>
      </c>
      <c r="Q106" s="35"/>
    </row>
    <row r="107" spans="2:17" ht="20.100000000000001" customHeight="1">
      <c r="B107" s="197" t="s">
        <v>13</v>
      </c>
      <c r="C107" s="190">
        <v>45748</v>
      </c>
      <c r="D107" s="190">
        <v>45749</v>
      </c>
      <c r="E107" s="191"/>
      <c r="F107" s="198" t="s">
        <v>103</v>
      </c>
      <c r="G107" s="193" t="s">
        <v>645</v>
      </c>
      <c r="H107" s="193">
        <v>300</v>
      </c>
      <c r="I107" s="193" t="s">
        <v>330</v>
      </c>
      <c r="J107" s="193" t="s">
        <v>78</v>
      </c>
      <c r="K107" s="193" t="s">
        <v>646</v>
      </c>
      <c r="L107" s="193"/>
      <c r="M107" s="193" t="s">
        <v>647</v>
      </c>
      <c r="N107" s="426" t="s">
        <v>648</v>
      </c>
      <c r="O107" s="199" t="s">
        <v>649</v>
      </c>
      <c r="P107" s="193" t="s">
        <v>84</v>
      </c>
      <c r="Q107" s="196"/>
    </row>
    <row r="108" spans="2:17" ht="20.100000000000001" customHeight="1">
      <c r="B108" s="51" t="s">
        <v>13</v>
      </c>
      <c r="C108" s="32">
        <v>45748</v>
      </c>
      <c r="D108" s="32">
        <v>45749</v>
      </c>
      <c r="E108" s="27"/>
      <c r="F108" s="98" t="s">
        <v>103</v>
      </c>
      <c r="G108" s="176" t="s">
        <v>650</v>
      </c>
      <c r="H108" s="176">
        <v>10</v>
      </c>
      <c r="I108" s="34" t="s">
        <v>305</v>
      </c>
      <c r="J108" s="34" t="s">
        <v>78</v>
      </c>
      <c r="K108" s="34" t="s">
        <v>267</v>
      </c>
      <c r="L108" s="34"/>
      <c r="M108" s="34" t="s">
        <v>651</v>
      </c>
      <c r="N108" s="422" t="s">
        <v>652</v>
      </c>
      <c r="O108" s="30" t="s">
        <v>653</v>
      </c>
      <c r="P108" s="34" t="s">
        <v>84</v>
      </c>
      <c r="Q108" s="35"/>
    </row>
    <row r="109" spans="2:17" ht="20.100000000000001" customHeight="1">
      <c r="B109" s="161" t="s">
        <v>13</v>
      </c>
      <c r="C109" s="143">
        <v>45750</v>
      </c>
      <c r="D109" s="143">
        <v>45750</v>
      </c>
      <c r="E109" s="151">
        <v>45764</v>
      </c>
      <c r="F109" s="162" t="s">
        <v>106</v>
      </c>
      <c r="G109" s="145" t="s">
        <v>654</v>
      </c>
      <c r="H109" s="145">
        <v>70</v>
      </c>
      <c r="I109" s="145" t="s">
        <v>108</v>
      </c>
      <c r="J109" s="145" t="s">
        <v>78</v>
      </c>
      <c r="K109" s="145" t="s">
        <v>655</v>
      </c>
      <c r="L109" s="145"/>
      <c r="M109" s="145" t="s">
        <v>656</v>
      </c>
      <c r="N109" s="419" t="s">
        <v>657</v>
      </c>
      <c r="O109" s="155" t="s">
        <v>658</v>
      </c>
      <c r="P109" s="145" t="s">
        <v>84</v>
      </c>
      <c r="Q109" s="152"/>
    </row>
    <row r="110" spans="2:17" ht="20.100000000000001" customHeight="1">
      <c r="B110" s="161" t="s">
        <v>13</v>
      </c>
      <c r="C110" s="143">
        <v>45751</v>
      </c>
      <c r="D110" s="143">
        <v>45751</v>
      </c>
      <c r="E110" s="151"/>
      <c r="F110" s="162" t="s">
        <v>106</v>
      </c>
      <c r="G110" s="145" t="s">
        <v>659</v>
      </c>
      <c r="H110" s="145">
        <v>150</v>
      </c>
      <c r="I110" s="145" t="s">
        <v>209</v>
      </c>
      <c r="J110" s="145" t="s">
        <v>78</v>
      </c>
      <c r="K110" s="145" t="s">
        <v>660</v>
      </c>
      <c r="L110" s="145"/>
      <c r="M110" s="145" t="s">
        <v>661</v>
      </c>
      <c r="N110" s="419" t="s">
        <v>662</v>
      </c>
      <c r="O110" s="155" t="s">
        <v>663</v>
      </c>
      <c r="P110" s="145" t="s">
        <v>84</v>
      </c>
      <c r="Q110" s="152"/>
    </row>
    <row r="111" spans="2:17" ht="20.100000000000001" customHeight="1">
      <c r="B111" s="161" t="s">
        <v>13</v>
      </c>
      <c r="C111" s="143">
        <v>45751</v>
      </c>
      <c r="D111" s="143">
        <v>45751</v>
      </c>
      <c r="E111" s="151"/>
      <c r="F111" s="162" t="s">
        <v>106</v>
      </c>
      <c r="G111" s="145" t="s">
        <v>664</v>
      </c>
      <c r="H111" s="145">
        <v>300</v>
      </c>
      <c r="I111" s="145" t="s">
        <v>665</v>
      </c>
      <c r="J111" s="145" t="s">
        <v>185</v>
      </c>
      <c r="K111" s="145" t="s">
        <v>666</v>
      </c>
      <c r="L111" s="145"/>
      <c r="M111" s="145" t="s">
        <v>667</v>
      </c>
      <c r="N111" s="419" t="s">
        <v>668</v>
      </c>
      <c r="O111" s="155" t="s">
        <v>669</v>
      </c>
      <c r="P111" s="145" t="s">
        <v>84</v>
      </c>
      <c r="Q111" s="152"/>
    </row>
    <row r="112" spans="2:17" ht="20.100000000000001" customHeight="1">
      <c r="B112" s="51" t="s">
        <v>13</v>
      </c>
      <c r="C112" s="32">
        <v>45750</v>
      </c>
      <c r="D112" s="32">
        <v>45751</v>
      </c>
      <c r="E112" s="27"/>
      <c r="F112" s="98" t="s">
        <v>103</v>
      </c>
      <c r="G112" s="34" t="s">
        <v>670</v>
      </c>
      <c r="H112" s="34">
        <v>30</v>
      </c>
      <c r="I112" s="34" t="s">
        <v>255</v>
      </c>
      <c r="J112" s="34" t="s">
        <v>72</v>
      </c>
      <c r="K112" s="34" t="s">
        <v>671</v>
      </c>
      <c r="L112" s="34"/>
      <c r="M112" s="34" t="s">
        <v>506</v>
      </c>
      <c r="N112" s="422" t="s">
        <v>672</v>
      </c>
      <c r="O112" s="30" t="s">
        <v>673</v>
      </c>
      <c r="P112" s="34" t="s">
        <v>84</v>
      </c>
      <c r="Q112" s="35"/>
    </row>
    <row r="113" spans="2:17" ht="20.100000000000001" customHeight="1">
      <c r="B113" s="51" t="s">
        <v>13</v>
      </c>
      <c r="C113" s="32">
        <v>45749</v>
      </c>
      <c r="D113" s="32">
        <v>45750</v>
      </c>
      <c r="E113" s="27"/>
      <c r="F113" s="98" t="s">
        <v>103</v>
      </c>
      <c r="G113" s="34" t="s">
        <v>794</v>
      </c>
      <c r="H113" s="34">
        <v>70</v>
      </c>
      <c r="I113" s="34" t="s">
        <v>114</v>
      </c>
      <c r="J113" s="34" t="s">
        <v>78</v>
      </c>
      <c r="K113" s="34" t="s">
        <v>267</v>
      </c>
      <c r="L113" s="34"/>
      <c r="M113" s="34" t="s">
        <v>795</v>
      </c>
      <c r="N113" s="422" t="s">
        <v>796</v>
      </c>
      <c r="O113" s="30" t="s">
        <v>797</v>
      </c>
      <c r="P113" s="34" t="s">
        <v>84</v>
      </c>
      <c r="Q113" s="35"/>
    </row>
    <row r="114" spans="2:17" ht="20.100000000000001" customHeight="1">
      <c r="B114" s="161" t="s">
        <v>13</v>
      </c>
      <c r="C114" s="143">
        <v>45755</v>
      </c>
      <c r="D114" s="143">
        <v>45757</v>
      </c>
      <c r="E114" s="151"/>
      <c r="F114" s="162" t="s">
        <v>106</v>
      </c>
      <c r="G114" s="145" t="s">
        <v>798</v>
      </c>
      <c r="H114" s="145">
        <v>10</v>
      </c>
      <c r="I114" s="145" t="s">
        <v>114</v>
      </c>
      <c r="J114" s="145" t="s">
        <v>78</v>
      </c>
      <c r="K114" s="145" t="s">
        <v>267</v>
      </c>
      <c r="L114" s="145"/>
      <c r="M114" s="145" t="s">
        <v>799</v>
      </c>
      <c r="N114" s="419" t="s">
        <v>800</v>
      </c>
      <c r="O114" s="155" t="s">
        <v>801</v>
      </c>
      <c r="P114" s="145" t="s">
        <v>84</v>
      </c>
      <c r="Q114" s="152"/>
    </row>
    <row r="115" spans="2:17" ht="20.100000000000001" customHeight="1">
      <c r="B115" s="51" t="s">
        <v>13</v>
      </c>
      <c r="C115" s="32">
        <v>45756</v>
      </c>
      <c r="D115" s="32">
        <v>45757</v>
      </c>
      <c r="E115" s="27"/>
      <c r="F115" s="98" t="s">
        <v>103</v>
      </c>
      <c r="G115" s="34" t="s">
        <v>802</v>
      </c>
      <c r="H115" s="34">
        <v>160</v>
      </c>
      <c r="I115" s="34" t="s">
        <v>330</v>
      </c>
      <c r="J115" s="34" t="s">
        <v>72</v>
      </c>
      <c r="K115" s="34" t="s">
        <v>803</v>
      </c>
      <c r="L115" s="34"/>
      <c r="M115" s="34" t="s">
        <v>804</v>
      </c>
      <c r="N115" s="422" t="s">
        <v>805</v>
      </c>
      <c r="O115" s="30" t="s">
        <v>806</v>
      </c>
      <c r="P115" s="34" t="s">
        <v>84</v>
      </c>
      <c r="Q115" s="35"/>
    </row>
    <row r="116" spans="2:17" ht="20.100000000000001" customHeight="1">
      <c r="B116" s="51" t="s">
        <v>13</v>
      </c>
      <c r="C116" s="32">
        <v>45756</v>
      </c>
      <c r="D116" s="32">
        <v>45758</v>
      </c>
      <c r="E116" s="27"/>
      <c r="F116" s="98" t="s">
        <v>103</v>
      </c>
      <c r="G116" s="34" t="s">
        <v>807</v>
      </c>
      <c r="H116" s="34">
        <v>10</v>
      </c>
      <c r="I116" s="34" t="s">
        <v>114</v>
      </c>
      <c r="J116" s="34" t="s">
        <v>72</v>
      </c>
      <c r="K116" s="34" t="s">
        <v>267</v>
      </c>
      <c r="L116" s="34"/>
      <c r="M116" s="34" t="s">
        <v>667</v>
      </c>
      <c r="N116" s="422" t="s">
        <v>808</v>
      </c>
      <c r="O116" s="30" t="s">
        <v>809</v>
      </c>
      <c r="P116" s="34" t="s">
        <v>84</v>
      </c>
      <c r="Q116" s="35"/>
    </row>
    <row r="117" spans="2:17" ht="20.100000000000001" customHeight="1">
      <c r="B117" s="51" t="s">
        <v>13</v>
      </c>
      <c r="C117" s="32">
        <v>45757</v>
      </c>
      <c r="D117" s="32">
        <v>45758</v>
      </c>
      <c r="E117" s="27"/>
      <c r="F117" s="98" t="s">
        <v>103</v>
      </c>
      <c r="G117" s="176" t="s">
        <v>810</v>
      </c>
      <c r="H117" s="176">
        <v>200</v>
      </c>
      <c r="I117" s="34" t="s">
        <v>114</v>
      </c>
      <c r="J117" s="34" t="s">
        <v>185</v>
      </c>
      <c r="K117" s="34" t="s">
        <v>267</v>
      </c>
      <c r="L117" s="34"/>
      <c r="M117" s="34" t="s">
        <v>811</v>
      </c>
      <c r="N117" s="422" t="s">
        <v>812</v>
      </c>
      <c r="O117" s="30" t="s">
        <v>813</v>
      </c>
      <c r="P117" s="34" t="s">
        <v>84</v>
      </c>
      <c r="Q117" s="35"/>
    </row>
    <row r="118" spans="2:17" ht="20.100000000000001" customHeight="1">
      <c r="B118" s="51" t="s">
        <v>13</v>
      </c>
      <c r="C118" s="32">
        <v>45758</v>
      </c>
      <c r="D118" s="32">
        <v>45762</v>
      </c>
      <c r="E118" s="27"/>
      <c r="F118" s="98" t="s">
        <v>103</v>
      </c>
      <c r="G118" s="34" t="s">
        <v>814</v>
      </c>
      <c r="H118" s="34">
        <v>45</v>
      </c>
      <c r="I118" s="34" t="s">
        <v>438</v>
      </c>
      <c r="J118" s="34" t="s">
        <v>78</v>
      </c>
      <c r="K118" s="34" t="s">
        <v>267</v>
      </c>
      <c r="L118" s="34"/>
      <c r="M118" s="34" t="s">
        <v>815</v>
      </c>
      <c r="N118" s="422" t="s">
        <v>816</v>
      </c>
      <c r="O118" s="30" t="s">
        <v>817</v>
      </c>
      <c r="P118" s="34" t="s">
        <v>84</v>
      </c>
      <c r="Q118" s="35"/>
    </row>
    <row r="119" spans="2:17" ht="20.100000000000001" customHeight="1">
      <c r="B119" s="161" t="s">
        <v>13</v>
      </c>
      <c r="C119" s="143">
        <v>45758</v>
      </c>
      <c r="D119" s="143">
        <v>45762</v>
      </c>
      <c r="E119" s="151"/>
      <c r="F119" s="162" t="s">
        <v>106</v>
      </c>
      <c r="G119" s="145" t="s">
        <v>818</v>
      </c>
      <c r="H119" s="145">
        <v>80</v>
      </c>
      <c r="I119" s="145" t="s">
        <v>821</v>
      </c>
      <c r="J119" s="145" t="s">
        <v>78</v>
      </c>
      <c r="K119" s="145" t="s">
        <v>819</v>
      </c>
      <c r="L119" s="145"/>
      <c r="M119" s="145" t="s">
        <v>820</v>
      </c>
      <c r="N119" s="419" t="s">
        <v>822</v>
      </c>
      <c r="O119" s="155" t="s">
        <v>823</v>
      </c>
      <c r="P119" s="145" t="s">
        <v>84</v>
      </c>
      <c r="Q119" s="152"/>
    </row>
    <row r="120" spans="2:17" ht="20.100000000000001" customHeight="1">
      <c r="B120" s="51" t="s">
        <v>13</v>
      </c>
      <c r="C120" s="32">
        <v>45762</v>
      </c>
      <c r="D120" s="32">
        <v>45762</v>
      </c>
      <c r="E120" s="27"/>
      <c r="F120" s="98" t="s">
        <v>103</v>
      </c>
      <c r="G120" s="34" t="s">
        <v>824</v>
      </c>
      <c r="H120" s="34">
        <v>40</v>
      </c>
      <c r="I120" s="34" t="s">
        <v>483</v>
      </c>
      <c r="J120" s="34" t="s">
        <v>78</v>
      </c>
      <c r="K120" s="34" t="s">
        <v>825</v>
      </c>
      <c r="L120" s="34"/>
      <c r="M120" s="34" t="s">
        <v>826</v>
      </c>
      <c r="N120" s="422" t="s">
        <v>827</v>
      </c>
      <c r="O120" s="30" t="s">
        <v>828</v>
      </c>
      <c r="P120" s="34" t="s">
        <v>84</v>
      </c>
      <c r="Q120" s="35"/>
    </row>
    <row r="121" spans="2:17" ht="20.100000000000001" customHeight="1">
      <c r="B121" s="178" t="s">
        <v>13</v>
      </c>
      <c r="C121" s="134">
        <v>45761</v>
      </c>
      <c r="D121" s="134">
        <v>45763</v>
      </c>
      <c r="E121" s="177"/>
      <c r="F121" s="179" t="s">
        <v>37</v>
      </c>
      <c r="G121" s="126" t="s">
        <v>829</v>
      </c>
      <c r="H121" s="126">
        <v>10</v>
      </c>
      <c r="I121" s="126" t="s">
        <v>841</v>
      </c>
      <c r="J121" s="126" t="s">
        <v>72</v>
      </c>
      <c r="K121" s="126" t="s">
        <v>830</v>
      </c>
      <c r="L121" s="126"/>
      <c r="M121" s="126" t="s">
        <v>831</v>
      </c>
      <c r="N121" s="427" t="s">
        <v>832</v>
      </c>
      <c r="O121" s="175" t="s">
        <v>833</v>
      </c>
      <c r="P121" s="126" t="s">
        <v>84</v>
      </c>
      <c r="Q121" s="172"/>
    </row>
    <row r="122" spans="2:17" ht="20.100000000000001" customHeight="1">
      <c r="B122" s="51" t="s">
        <v>13</v>
      </c>
      <c r="C122" s="32">
        <v>45761</v>
      </c>
      <c r="D122" s="32">
        <v>45770</v>
      </c>
      <c r="E122" s="27"/>
      <c r="F122" s="98" t="s">
        <v>103</v>
      </c>
      <c r="G122" s="34" t="s">
        <v>872</v>
      </c>
      <c r="H122" s="34">
        <v>150</v>
      </c>
      <c r="I122" s="34" t="s">
        <v>177</v>
      </c>
      <c r="J122" s="34" t="s">
        <v>72</v>
      </c>
      <c r="K122" s="34" t="s">
        <v>873</v>
      </c>
      <c r="L122" s="34"/>
      <c r="M122" s="34" t="s">
        <v>874</v>
      </c>
      <c r="N122" s="422" t="s">
        <v>875</v>
      </c>
      <c r="O122" s="30" t="s">
        <v>876</v>
      </c>
      <c r="P122" s="34" t="s">
        <v>84</v>
      </c>
      <c r="Q122" s="35"/>
    </row>
    <row r="123" spans="2:17" ht="20.100000000000001" customHeight="1">
      <c r="B123" s="51" t="s">
        <v>13</v>
      </c>
      <c r="C123" s="32">
        <v>45761</v>
      </c>
      <c r="D123" s="32">
        <v>45763</v>
      </c>
      <c r="E123" s="27"/>
      <c r="F123" s="98" t="s">
        <v>103</v>
      </c>
      <c r="G123" s="34" t="s">
        <v>834</v>
      </c>
      <c r="H123" s="34">
        <v>5</v>
      </c>
      <c r="I123" s="34" t="s">
        <v>835</v>
      </c>
      <c r="J123" s="34" t="s">
        <v>72</v>
      </c>
      <c r="K123" s="34" t="s">
        <v>836</v>
      </c>
      <c r="L123" s="34"/>
      <c r="M123" s="34" t="s">
        <v>837</v>
      </c>
      <c r="N123" s="422" t="s">
        <v>838</v>
      </c>
      <c r="O123" s="30" t="s">
        <v>839</v>
      </c>
      <c r="P123" s="34" t="s">
        <v>84</v>
      </c>
      <c r="Q123" s="35"/>
    </row>
    <row r="124" spans="2:17" ht="20.100000000000001" customHeight="1">
      <c r="B124" s="51" t="s">
        <v>13</v>
      </c>
      <c r="C124" s="32">
        <v>45762</v>
      </c>
      <c r="D124" s="32">
        <v>45763</v>
      </c>
      <c r="E124" s="27"/>
      <c r="F124" s="98" t="s">
        <v>103</v>
      </c>
      <c r="G124" s="34" t="s">
        <v>840</v>
      </c>
      <c r="H124" s="34">
        <v>20</v>
      </c>
      <c r="I124" s="34" t="s">
        <v>255</v>
      </c>
      <c r="J124" s="34" t="s">
        <v>72</v>
      </c>
      <c r="K124" s="34" t="s">
        <v>842</v>
      </c>
      <c r="L124" s="34"/>
      <c r="M124" s="34" t="s">
        <v>843</v>
      </c>
      <c r="N124" s="422" t="s">
        <v>844</v>
      </c>
      <c r="O124" s="30" t="s">
        <v>854</v>
      </c>
      <c r="P124" s="34" t="s">
        <v>84</v>
      </c>
      <c r="Q124" s="35"/>
    </row>
    <row r="125" spans="2:17" ht="20.100000000000001" customHeight="1">
      <c r="B125" s="51" t="s">
        <v>13</v>
      </c>
      <c r="C125" s="32">
        <v>45763</v>
      </c>
      <c r="D125" s="32">
        <v>45763</v>
      </c>
      <c r="E125" s="27"/>
      <c r="F125" s="98" t="s">
        <v>237</v>
      </c>
      <c r="G125" s="34" t="s">
        <v>845</v>
      </c>
      <c r="H125" s="34">
        <v>160</v>
      </c>
      <c r="I125" s="34" t="s">
        <v>821</v>
      </c>
      <c r="J125" s="34" t="s">
        <v>72</v>
      </c>
      <c r="K125" s="34" t="s">
        <v>846</v>
      </c>
      <c r="L125" s="34"/>
      <c r="M125" s="34" t="s">
        <v>847</v>
      </c>
      <c r="N125" s="422" t="s">
        <v>848</v>
      </c>
      <c r="O125" s="30" t="s">
        <v>855</v>
      </c>
      <c r="P125" s="34" t="s">
        <v>84</v>
      </c>
      <c r="Q125" s="35"/>
    </row>
    <row r="126" spans="2:17" ht="20.100000000000001" customHeight="1">
      <c r="B126" s="51" t="s">
        <v>13</v>
      </c>
      <c r="C126" s="32">
        <v>45764</v>
      </c>
      <c r="D126" s="32">
        <v>45764</v>
      </c>
      <c r="E126" s="27"/>
      <c r="F126" s="98" t="s">
        <v>103</v>
      </c>
      <c r="G126" s="34" t="s">
        <v>849</v>
      </c>
      <c r="H126" s="34">
        <v>60</v>
      </c>
      <c r="I126" s="34" t="s">
        <v>850</v>
      </c>
      <c r="J126" s="34" t="s">
        <v>72</v>
      </c>
      <c r="K126" s="34" t="s">
        <v>851</v>
      </c>
      <c r="L126" s="34"/>
      <c r="M126" s="34" t="s">
        <v>852</v>
      </c>
      <c r="N126" s="422" t="s">
        <v>853</v>
      </c>
      <c r="O126" s="30" t="s">
        <v>856</v>
      </c>
      <c r="P126" s="34" t="s">
        <v>84</v>
      </c>
      <c r="Q126" s="35"/>
    </row>
    <row r="127" spans="2:17" ht="20.100000000000001" customHeight="1">
      <c r="B127" s="51" t="s">
        <v>13</v>
      </c>
      <c r="C127" s="32">
        <v>45764</v>
      </c>
      <c r="D127" s="32">
        <v>45765</v>
      </c>
      <c r="E127" s="27"/>
      <c r="F127" s="98" t="s">
        <v>103</v>
      </c>
      <c r="G127" s="34" t="s">
        <v>857</v>
      </c>
      <c r="H127" s="34">
        <v>30</v>
      </c>
      <c r="I127" s="34" t="s">
        <v>858</v>
      </c>
      <c r="J127" s="34" t="s">
        <v>78</v>
      </c>
      <c r="K127" s="34" t="s">
        <v>267</v>
      </c>
      <c r="L127" s="34"/>
      <c r="M127" s="34" t="s">
        <v>859</v>
      </c>
      <c r="N127" s="422" t="s">
        <v>860</v>
      </c>
      <c r="O127" s="30" t="s">
        <v>861</v>
      </c>
      <c r="P127" s="34" t="s">
        <v>84</v>
      </c>
      <c r="Q127" s="35"/>
    </row>
    <row r="128" spans="2:17" ht="20.100000000000001" customHeight="1">
      <c r="B128" s="161" t="s">
        <v>13</v>
      </c>
      <c r="C128" s="143">
        <v>45769</v>
      </c>
      <c r="D128" s="143">
        <v>45770</v>
      </c>
      <c r="E128" s="151"/>
      <c r="F128" s="162" t="s">
        <v>106</v>
      </c>
      <c r="G128" s="145" t="s">
        <v>862</v>
      </c>
      <c r="H128" s="145">
        <v>30</v>
      </c>
      <c r="I128" s="145" t="s">
        <v>226</v>
      </c>
      <c r="J128" s="145" t="s">
        <v>72</v>
      </c>
      <c r="K128" s="145" t="s">
        <v>267</v>
      </c>
      <c r="L128" s="145"/>
      <c r="M128" s="145" t="s">
        <v>863</v>
      </c>
      <c r="N128" s="419" t="s">
        <v>864</v>
      </c>
      <c r="O128" s="155" t="s">
        <v>865</v>
      </c>
      <c r="P128" s="145" t="s">
        <v>84</v>
      </c>
      <c r="Q128" s="152"/>
    </row>
    <row r="129" spans="2:17" ht="20.100000000000001" customHeight="1">
      <c r="B129" s="51" t="s">
        <v>13</v>
      </c>
      <c r="C129" s="32">
        <v>45770</v>
      </c>
      <c r="D129" s="32">
        <v>45770</v>
      </c>
      <c r="E129" s="27"/>
      <c r="F129" s="98" t="s">
        <v>103</v>
      </c>
      <c r="G129" s="176" t="s">
        <v>866</v>
      </c>
      <c r="H129" s="176">
        <v>370</v>
      </c>
      <c r="I129" s="34" t="s">
        <v>867</v>
      </c>
      <c r="J129" s="34" t="s">
        <v>72</v>
      </c>
      <c r="K129" s="34" t="s">
        <v>868</v>
      </c>
      <c r="L129" s="34"/>
      <c r="M129" s="34" t="s">
        <v>869</v>
      </c>
      <c r="N129" s="422" t="s">
        <v>870</v>
      </c>
      <c r="O129" s="30" t="s">
        <v>871</v>
      </c>
      <c r="P129" s="34" t="s">
        <v>84</v>
      </c>
      <c r="Q129" s="35"/>
    </row>
    <row r="130" spans="2:17" ht="20.100000000000001" customHeight="1">
      <c r="B130" s="51" t="s">
        <v>13</v>
      </c>
      <c r="C130" s="32">
        <v>45771</v>
      </c>
      <c r="D130" s="32">
        <v>45772</v>
      </c>
      <c r="E130" s="27"/>
      <c r="F130" s="180" t="s">
        <v>103</v>
      </c>
      <c r="G130" s="176" t="s">
        <v>903</v>
      </c>
      <c r="H130" s="176">
        <v>24</v>
      </c>
      <c r="I130" s="34" t="s">
        <v>109</v>
      </c>
      <c r="J130" s="34" t="s">
        <v>78</v>
      </c>
      <c r="K130" s="34" t="s">
        <v>267</v>
      </c>
      <c r="L130" s="34"/>
      <c r="M130" s="34" t="s">
        <v>904</v>
      </c>
      <c r="N130" s="422" t="s">
        <v>905</v>
      </c>
      <c r="O130" s="30" t="s">
        <v>1005</v>
      </c>
      <c r="P130" s="34" t="s">
        <v>84</v>
      </c>
      <c r="Q130" s="35"/>
    </row>
    <row r="131" spans="2:17" ht="20.100000000000001" customHeight="1">
      <c r="B131" s="197" t="s">
        <v>13</v>
      </c>
      <c r="C131" s="190">
        <v>45771</v>
      </c>
      <c r="D131" s="190">
        <v>45771</v>
      </c>
      <c r="E131" s="191"/>
      <c r="F131" s="198" t="s">
        <v>103</v>
      </c>
      <c r="G131" s="193" t="s">
        <v>906</v>
      </c>
      <c r="H131" s="193">
        <v>730</v>
      </c>
      <c r="I131" s="193" t="s">
        <v>907</v>
      </c>
      <c r="J131" s="193" t="s">
        <v>72</v>
      </c>
      <c r="K131" s="193" t="s">
        <v>908</v>
      </c>
      <c r="L131" s="193"/>
      <c r="M131" s="193" t="s">
        <v>909</v>
      </c>
      <c r="N131" s="426" t="s">
        <v>910</v>
      </c>
      <c r="O131" s="199" t="s">
        <v>911</v>
      </c>
      <c r="P131" s="193" t="s">
        <v>84</v>
      </c>
      <c r="Q131" s="196"/>
    </row>
    <row r="132" spans="2:17" ht="20.100000000000001" customHeight="1">
      <c r="B132" s="51" t="s">
        <v>13</v>
      </c>
      <c r="C132" s="32">
        <v>45775</v>
      </c>
      <c r="D132" s="32">
        <v>45777</v>
      </c>
      <c r="E132" s="27"/>
      <c r="F132" s="98" t="s">
        <v>103</v>
      </c>
      <c r="G132" s="34" t="s">
        <v>912</v>
      </c>
      <c r="H132" s="34">
        <v>30</v>
      </c>
      <c r="I132" s="34" t="s">
        <v>867</v>
      </c>
      <c r="J132" s="34" t="s">
        <v>78</v>
      </c>
      <c r="K132" s="34" t="s">
        <v>914</v>
      </c>
      <c r="L132" s="34"/>
      <c r="M132" s="34" t="s">
        <v>913</v>
      </c>
      <c r="N132" s="422" t="s">
        <v>915</v>
      </c>
      <c r="O132" s="30" t="s">
        <v>916</v>
      </c>
      <c r="P132" s="34" t="s">
        <v>84</v>
      </c>
      <c r="Q132" s="35"/>
    </row>
    <row r="133" spans="2:17" ht="20.100000000000001" customHeight="1">
      <c r="B133" s="161" t="s">
        <v>13</v>
      </c>
      <c r="C133" s="143">
        <v>45776</v>
      </c>
      <c r="D133" s="143">
        <v>45779</v>
      </c>
      <c r="E133" s="151"/>
      <c r="F133" s="162" t="s">
        <v>106</v>
      </c>
      <c r="G133" s="145" t="s">
        <v>894</v>
      </c>
      <c r="H133" s="145">
        <v>4</v>
      </c>
      <c r="I133" s="145" t="s">
        <v>289</v>
      </c>
      <c r="J133" s="145" t="s">
        <v>72</v>
      </c>
      <c r="K133" s="145" t="s">
        <v>917</v>
      </c>
      <c r="L133" s="145"/>
      <c r="M133" s="145" t="s">
        <v>918</v>
      </c>
      <c r="N133" s="419" t="s">
        <v>919</v>
      </c>
      <c r="O133" s="155" t="s">
        <v>920</v>
      </c>
      <c r="P133" s="145" t="s">
        <v>84</v>
      </c>
      <c r="Q133" s="152"/>
    </row>
    <row r="134" spans="2:17" ht="20.100000000000001" customHeight="1">
      <c r="B134" s="161" t="s">
        <v>13</v>
      </c>
      <c r="C134" s="143">
        <v>45776</v>
      </c>
      <c r="D134" s="143">
        <v>45777</v>
      </c>
      <c r="E134" s="151"/>
      <c r="F134" s="162" t="s">
        <v>106</v>
      </c>
      <c r="G134" s="145" t="s">
        <v>921</v>
      </c>
      <c r="H134" s="145">
        <v>32</v>
      </c>
      <c r="I134" s="145" t="s">
        <v>330</v>
      </c>
      <c r="J134" s="145" t="s">
        <v>78</v>
      </c>
      <c r="K134" s="145" t="s">
        <v>922</v>
      </c>
      <c r="L134" s="145"/>
      <c r="M134" s="145" t="s">
        <v>924</v>
      </c>
      <c r="N134" s="419" t="s">
        <v>923</v>
      </c>
      <c r="O134" s="155" t="s">
        <v>925</v>
      </c>
      <c r="P134" s="145" t="s">
        <v>84</v>
      </c>
      <c r="Q134" s="152"/>
    </row>
    <row r="135" spans="2:17" ht="20.100000000000001" customHeight="1">
      <c r="B135" s="161" t="s">
        <v>13</v>
      </c>
      <c r="C135" s="143">
        <v>45777</v>
      </c>
      <c r="D135" s="143">
        <v>45785</v>
      </c>
      <c r="E135" s="151"/>
      <c r="F135" s="162" t="s">
        <v>106</v>
      </c>
      <c r="G135" s="145" t="s">
        <v>926</v>
      </c>
      <c r="H135" s="145">
        <v>3</v>
      </c>
      <c r="I135" s="145" t="s">
        <v>927</v>
      </c>
      <c r="J135" s="145" t="s">
        <v>78</v>
      </c>
      <c r="K135" s="145" t="s">
        <v>928</v>
      </c>
      <c r="L135" s="145"/>
      <c r="M135" s="145" t="s">
        <v>929</v>
      </c>
      <c r="N135" s="419" t="s">
        <v>930</v>
      </c>
      <c r="O135" s="155" t="s">
        <v>81</v>
      </c>
      <c r="P135" s="145" t="s">
        <v>84</v>
      </c>
      <c r="Q135" s="152"/>
    </row>
    <row r="136" spans="2:17" ht="20.100000000000001" customHeight="1">
      <c r="B136" s="197" t="s">
        <v>23</v>
      </c>
      <c r="C136" s="190">
        <v>45781</v>
      </c>
      <c r="D136" s="190">
        <v>45784</v>
      </c>
      <c r="E136" s="191"/>
      <c r="F136" s="198" t="s">
        <v>103</v>
      </c>
      <c r="G136" s="193" t="s">
        <v>931</v>
      </c>
      <c r="H136" s="193">
        <v>300</v>
      </c>
      <c r="I136" s="193" t="s">
        <v>448</v>
      </c>
      <c r="J136" s="193" t="s">
        <v>78</v>
      </c>
      <c r="K136" s="193" t="s">
        <v>932</v>
      </c>
      <c r="L136" s="193"/>
      <c r="M136" s="193" t="s">
        <v>933</v>
      </c>
      <c r="N136" s="426" t="s">
        <v>934</v>
      </c>
      <c r="O136" s="199" t="s">
        <v>935</v>
      </c>
      <c r="P136" s="193" t="s">
        <v>84</v>
      </c>
      <c r="Q136" s="196"/>
    </row>
    <row r="137" spans="2:17" ht="20.100000000000001" customHeight="1">
      <c r="B137" s="51" t="s">
        <v>23</v>
      </c>
      <c r="C137" s="32">
        <v>45783</v>
      </c>
      <c r="D137" s="32">
        <v>45784</v>
      </c>
      <c r="E137" s="27"/>
      <c r="F137" s="98" t="s">
        <v>103</v>
      </c>
      <c r="G137" s="34" t="s">
        <v>936</v>
      </c>
      <c r="H137" s="34">
        <v>10</v>
      </c>
      <c r="I137" s="34" t="s">
        <v>226</v>
      </c>
      <c r="J137" s="34" t="s">
        <v>78</v>
      </c>
      <c r="K137" s="34" t="s">
        <v>267</v>
      </c>
      <c r="L137" s="34"/>
      <c r="M137" s="34" t="s">
        <v>937</v>
      </c>
      <c r="N137" s="422" t="s">
        <v>938</v>
      </c>
      <c r="O137" s="30" t="s">
        <v>939</v>
      </c>
      <c r="P137" s="34" t="s">
        <v>84</v>
      </c>
      <c r="Q137" s="35"/>
    </row>
    <row r="138" spans="2:17" ht="20.100000000000001" customHeight="1">
      <c r="B138" s="161" t="s">
        <v>23</v>
      </c>
      <c r="C138" s="143">
        <v>45784</v>
      </c>
      <c r="D138" s="143">
        <v>45785</v>
      </c>
      <c r="E138" s="151"/>
      <c r="F138" s="162" t="s">
        <v>106</v>
      </c>
      <c r="G138" s="145" t="s">
        <v>895</v>
      </c>
      <c r="H138" s="145">
        <v>9</v>
      </c>
      <c r="I138" s="145" t="s">
        <v>171</v>
      </c>
      <c r="J138" s="145" t="s">
        <v>72</v>
      </c>
      <c r="K138" s="145" t="s">
        <v>940</v>
      </c>
      <c r="L138" s="145"/>
      <c r="M138" s="145" t="s">
        <v>941</v>
      </c>
      <c r="N138" s="419" t="s">
        <v>942</v>
      </c>
      <c r="O138" s="155" t="s">
        <v>943</v>
      </c>
      <c r="P138" s="145" t="s">
        <v>84</v>
      </c>
      <c r="Q138" s="152"/>
    </row>
    <row r="139" spans="2:17" ht="20.100000000000001" customHeight="1">
      <c r="B139" s="178" t="s">
        <v>23</v>
      </c>
      <c r="C139" s="134">
        <v>45785</v>
      </c>
      <c r="D139" s="134">
        <v>45785</v>
      </c>
      <c r="E139" s="177"/>
      <c r="F139" s="179" t="s">
        <v>37</v>
      </c>
      <c r="G139" s="126" t="s">
        <v>944</v>
      </c>
      <c r="H139" s="126">
        <v>600</v>
      </c>
      <c r="I139" s="126" t="s">
        <v>821</v>
      </c>
      <c r="J139" s="126" t="s">
        <v>78</v>
      </c>
      <c r="K139" s="126" t="s">
        <v>945</v>
      </c>
      <c r="L139" s="126"/>
      <c r="M139" s="126" t="s">
        <v>946</v>
      </c>
      <c r="N139" s="427" t="s">
        <v>947</v>
      </c>
      <c r="O139" s="175" t="s">
        <v>948</v>
      </c>
      <c r="P139" s="126" t="s">
        <v>84</v>
      </c>
      <c r="Q139" s="172"/>
    </row>
    <row r="140" spans="2:17" ht="20.100000000000001" customHeight="1">
      <c r="B140" s="51" t="s">
        <v>23</v>
      </c>
      <c r="C140" s="32">
        <v>45785</v>
      </c>
      <c r="D140" s="32">
        <v>45787</v>
      </c>
      <c r="E140" s="27"/>
      <c r="F140" s="98" t="s">
        <v>103</v>
      </c>
      <c r="G140" s="34" t="s">
        <v>955</v>
      </c>
      <c r="H140" s="34">
        <v>20</v>
      </c>
      <c r="I140" s="34" t="s">
        <v>956</v>
      </c>
      <c r="J140" s="34" t="s">
        <v>78</v>
      </c>
      <c r="K140" s="34" t="s">
        <v>267</v>
      </c>
      <c r="L140" s="34"/>
      <c r="M140" s="34" t="s">
        <v>957</v>
      </c>
      <c r="N140" s="422" t="s">
        <v>958</v>
      </c>
      <c r="O140" s="30" t="s">
        <v>1006</v>
      </c>
      <c r="P140" s="34" t="s">
        <v>84</v>
      </c>
      <c r="Q140" s="35"/>
    </row>
    <row r="141" spans="2:17" ht="20.100000000000001" customHeight="1">
      <c r="B141" s="51" t="s">
        <v>23</v>
      </c>
      <c r="C141" s="32">
        <v>45786</v>
      </c>
      <c r="D141" s="32">
        <v>45790</v>
      </c>
      <c r="E141" s="27"/>
      <c r="F141" s="98" t="s">
        <v>103</v>
      </c>
      <c r="G141" s="34" t="s">
        <v>959</v>
      </c>
      <c r="H141" s="34">
        <v>17</v>
      </c>
      <c r="I141" s="34" t="s">
        <v>956</v>
      </c>
      <c r="J141" s="34" t="s">
        <v>72</v>
      </c>
      <c r="K141" s="34" t="s">
        <v>960</v>
      </c>
      <c r="L141" s="34"/>
      <c r="M141" s="34" t="s">
        <v>961</v>
      </c>
      <c r="N141" s="422" t="s">
        <v>962</v>
      </c>
      <c r="O141" s="30" t="s">
        <v>1007</v>
      </c>
      <c r="P141" s="34" t="s">
        <v>84</v>
      </c>
      <c r="Q141" s="35"/>
    </row>
    <row r="142" spans="2:17" ht="20.100000000000001" customHeight="1">
      <c r="B142" s="51" t="s">
        <v>23</v>
      </c>
      <c r="C142" s="32">
        <v>45787</v>
      </c>
      <c r="D142" s="32">
        <v>45790</v>
      </c>
      <c r="E142" s="27"/>
      <c r="F142" s="98" t="s">
        <v>103</v>
      </c>
      <c r="G142" s="34" t="s">
        <v>963</v>
      </c>
      <c r="H142" s="34">
        <v>80</v>
      </c>
      <c r="I142" s="34" t="s">
        <v>178</v>
      </c>
      <c r="J142" s="34" t="s">
        <v>72</v>
      </c>
      <c r="K142" s="34" t="s">
        <v>267</v>
      </c>
      <c r="L142" s="34"/>
      <c r="M142" s="34" t="s">
        <v>964</v>
      </c>
      <c r="N142" s="422" t="s">
        <v>965</v>
      </c>
      <c r="O142" s="30" t="s">
        <v>1008</v>
      </c>
      <c r="P142" s="34" t="s">
        <v>84</v>
      </c>
      <c r="Q142" s="35"/>
    </row>
    <row r="143" spans="2:17" ht="20.100000000000001" customHeight="1">
      <c r="B143" s="51" t="s">
        <v>23</v>
      </c>
      <c r="C143" s="32">
        <v>45789</v>
      </c>
      <c r="D143" s="32">
        <v>45790</v>
      </c>
      <c r="E143" s="27"/>
      <c r="F143" s="98" t="s">
        <v>103</v>
      </c>
      <c r="G143" s="34" t="s">
        <v>966</v>
      </c>
      <c r="H143" s="34" t="s">
        <v>967</v>
      </c>
      <c r="I143" s="34" t="s">
        <v>114</v>
      </c>
      <c r="J143" s="34" t="s">
        <v>78</v>
      </c>
      <c r="K143" s="34" t="s">
        <v>267</v>
      </c>
      <c r="L143" s="34"/>
      <c r="M143" s="34" t="s">
        <v>968</v>
      </c>
      <c r="N143" s="422" t="s">
        <v>969</v>
      </c>
      <c r="O143" s="30" t="s">
        <v>1009</v>
      </c>
      <c r="P143" s="34" t="s">
        <v>84</v>
      </c>
      <c r="Q143" s="35"/>
    </row>
    <row r="144" spans="2:17" ht="20.100000000000001" customHeight="1">
      <c r="B144" s="197" t="s">
        <v>23</v>
      </c>
      <c r="C144" s="190">
        <v>45789</v>
      </c>
      <c r="D144" s="190">
        <v>45790</v>
      </c>
      <c r="E144" s="191"/>
      <c r="F144" s="198" t="s">
        <v>103</v>
      </c>
      <c r="G144" s="193" t="s">
        <v>970</v>
      </c>
      <c r="H144" s="193">
        <v>300</v>
      </c>
      <c r="I144" s="193" t="s">
        <v>114</v>
      </c>
      <c r="J144" s="193" t="s">
        <v>78</v>
      </c>
      <c r="K144" s="193" t="s">
        <v>971</v>
      </c>
      <c r="L144" s="193"/>
      <c r="M144" s="193" t="s">
        <v>972</v>
      </c>
      <c r="N144" s="426" t="s">
        <v>973</v>
      </c>
      <c r="O144" s="199" t="s">
        <v>1010</v>
      </c>
      <c r="P144" s="193" t="s">
        <v>84</v>
      </c>
      <c r="Q144" s="196"/>
    </row>
    <row r="145" spans="2:17" ht="20.100000000000001" customHeight="1">
      <c r="B145" s="161" t="s">
        <v>23</v>
      </c>
      <c r="C145" s="143">
        <v>45792</v>
      </c>
      <c r="D145" s="143">
        <v>45792</v>
      </c>
      <c r="E145" s="151"/>
      <c r="F145" s="162" t="s">
        <v>106</v>
      </c>
      <c r="G145" s="145" t="s">
        <v>974</v>
      </c>
      <c r="H145" s="145">
        <v>30</v>
      </c>
      <c r="I145" s="145" t="s">
        <v>226</v>
      </c>
      <c r="J145" s="145" t="s">
        <v>72</v>
      </c>
      <c r="K145" s="145" t="s">
        <v>975</v>
      </c>
      <c r="L145" s="145"/>
      <c r="M145" s="145" t="s">
        <v>976</v>
      </c>
      <c r="N145" s="419" t="s">
        <v>977</v>
      </c>
      <c r="O145" s="155" t="s">
        <v>1011</v>
      </c>
      <c r="P145" s="145" t="s">
        <v>84</v>
      </c>
      <c r="Q145" s="152"/>
    </row>
    <row r="146" spans="2:17" ht="20.100000000000001" customHeight="1">
      <c r="B146" s="197" t="s">
        <v>23</v>
      </c>
      <c r="C146" s="190">
        <v>45793</v>
      </c>
      <c r="D146" s="190">
        <v>45796</v>
      </c>
      <c r="E146" s="191"/>
      <c r="F146" s="198" t="s">
        <v>103</v>
      </c>
      <c r="G146" s="193" t="s">
        <v>978</v>
      </c>
      <c r="H146" s="193">
        <v>300</v>
      </c>
      <c r="I146" s="193" t="s">
        <v>114</v>
      </c>
      <c r="J146" s="193" t="s">
        <v>78</v>
      </c>
      <c r="K146" s="193" t="s">
        <v>979</v>
      </c>
      <c r="L146" s="193"/>
      <c r="M146" s="193" t="s">
        <v>980</v>
      </c>
      <c r="N146" s="426" t="s">
        <v>981</v>
      </c>
      <c r="O146" s="199" t="s">
        <v>1012</v>
      </c>
      <c r="P146" s="193" t="s">
        <v>84</v>
      </c>
      <c r="Q146" s="196"/>
    </row>
    <row r="147" spans="2:17" ht="20.100000000000001" customHeight="1">
      <c r="B147" s="51" t="s">
        <v>23</v>
      </c>
      <c r="C147" s="32">
        <v>45796</v>
      </c>
      <c r="D147" s="32">
        <v>45796</v>
      </c>
      <c r="E147" s="27"/>
      <c r="F147" s="98" t="s">
        <v>103</v>
      </c>
      <c r="G147" s="34" t="s">
        <v>982</v>
      </c>
      <c r="H147" s="34">
        <v>25</v>
      </c>
      <c r="I147" s="34" t="s">
        <v>983</v>
      </c>
      <c r="J147" s="34" t="s">
        <v>78</v>
      </c>
      <c r="K147" s="34" t="s">
        <v>984</v>
      </c>
      <c r="L147" s="34"/>
      <c r="M147" s="34" t="s">
        <v>985</v>
      </c>
      <c r="N147" s="422" t="s">
        <v>986</v>
      </c>
      <c r="O147" s="30" t="s">
        <v>1013</v>
      </c>
      <c r="P147" s="34" t="s">
        <v>84</v>
      </c>
      <c r="Q147" s="35"/>
    </row>
    <row r="148" spans="2:17" ht="20.100000000000001" customHeight="1">
      <c r="B148" s="161" t="s">
        <v>23</v>
      </c>
      <c r="C148" s="143">
        <v>45796</v>
      </c>
      <c r="D148" s="143">
        <v>45796</v>
      </c>
      <c r="E148" s="151"/>
      <c r="F148" s="162" t="s">
        <v>106</v>
      </c>
      <c r="G148" s="145" t="s">
        <v>987</v>
      </c>
      <c r="H148" s="145">
        <v>2</v>
      </c>
      <c r="I148" s="145" t="s">
        <v>81</v>
      </c>
      <c r="J148" s="145" t="s">
        <v>72</v>
      </c>
      <c r="K148" s="145" t="s">
        <v>267</v>
      </c>
      <c r="L148" s="145"/>
      <c r="M148" s="145" t="s">
        <v>988</v>
      </c>
      <c r="N148" s="419" t="s">
        <v>989</v>
      </c>
      <c r="O148" s="155" t="s">
        <v>1014</v>
      </c>
      <c r="P148" s="145" t="s">
        <v>84</v>
      </c>
      <c r="Q148" s="152"/>
    </row>
    <row r="149" spans="2:17" ht="20.100000000000001" customHeight="1">
      <c r="B149" s="51" t="s">
        <v>23</v>
      </c>
      <c r="C149" s="32">
        <v>45796</v>
      </c>
      <c r="D149" s="32">
        <v>45796</v>
      </c>
      <c r="E149" s="27"/>
      <c r="F149" s="98" t="s">
        <v>103</v>
      </c>
      <c r="G149" s="34" t="s">
        <v>990</v>
      </c>
      <c r="H149" s="34">
        <v>100</v>
      </c>
      <c r="I149" s="34" t="s">
        <v>637</v>
      </c>
      <c r="J149" s="34" t="s">
        <v>78</v>
      </c>
      <c r="K149" s="34" t="s">
        <v>267</v>
      </c>
      <c r="L149" s="34"/>
      <c r="M149" s="34" t="s">
        <v>991</v>
      </c>
      <c r="N149" s="422" t="s">
        <v>992</v>
      </c>
      <c r="O149" s="30" t="s">
        <v>1015</v>
      </c>
      <c r="P149" s="34" t="s">
        <v>84</v>
      </c>
      <c r="Q149" s="35"/>
    </row>
    <row r="150" spans="2:17" ht="20.100000000000001" customHeight="1">
      <c r="B150" s="51" t="s">
        <v>23</v>
      </c>
      <c r="C150" s="32">
        <v>45796</v>
      </c>
      <c r="D150" s="32">
        <v>45796</v>
      </c>
      <c r="E150" s="27"/>
      <c r="F150" s="98" t="s">
        <v>103</v>
      </c>
      <c r="G150" s="34" t="s">
        <v>993</v>
      </c>
      <c r="H150" s="34">
        <v>150</v>
      </c>
      <c r="I150" s="34" t="s">
        <v>149</v>
      </c>
      <c r="J150" s="34" t="s">
        <v>72</v>
      </c>
      <c r="K150" s="34" t="s">
        <v>994</v>
      </c>
      <c r="L150" s="34"/>
      <c r="M150" s="34" t="s">
        <v>995</v>
      </c>
      <c r="N150" s="422" t="s">
        <v>996</v>
      </c>
      <c r="O150" s="30" t="s">
        <v>1016</v>
      </c>
      <c r="P150" s="34" t="s">
        <v>84</v>
      </c>
      <c r="Q150" s="35"/>
    </row>
    <row r="151" spans="2:17" ht="20.100000000000001" customHeight="1">
      <c r="B151" s="51" t="s">
        <v>23</v>
      </c>
      <c r="C151" s="32">
        <v>45797</v>
      </c>
      <c r="D151" s="32">
        <v>45797</v>
      </c>
      <c r="E151" s="27"/>
      <c r="F151" s="98" t="s">
        <v>103</v>
      </c>
      <c r="G151" s="34" t="s">
        <v>997</v>
      </c>
      <c r="H151" s="34">
        <v>70</v>
      </c>
      <c r="I151" s="34" t="s">
        <v>114</v>
      </c>
      <c r="J151" s="34" t="s">
        <v>78</v>
      </c>
      <c r="K151" s="34" t="s">
        <v>998</v>
      </c>
      <c r="L151" s="34"/>
      <c r="M151" s="34" t="s">
        <v>999</v>
      </c>
      <c r="N151" s="422" t="s">
        <v>1000</v>
      </c>
      <c r="O151" s="30" t="s">
        <v>1017</v>
      </c>
      <c r="P151" s="34" t="s">
        <v>84</v>
      </c>
      <c r="Q151" s="35"/>
    </row>
    <row r="152" spans="2:17" ht="20.100000000000001" customHeight="1">
      <c r="B152" s="161" t="s">
        <v>23</v>
      </c>
      <c r="C152" s="143">
        <v>45797</v>
      </c>
      <c r="D152" s="143">
        <v>45798</v>
      </c>
      <c r="E152" s="151"/>
      <c r="F152" s="162" t="s">
        <v>106</v>
      </c>
      <c r="G152" s="145" t="s">
        <v>1001</v>
      </c>
      <c r="H152" s="145">
        <v>70</v>
      </c>
      <c r="I152" s="145" t="s">
        <v>881</v>
      </c>
      <c r="J152" s="145" t="s">
        <v>72</v>
      </c>
      <c r="K152" s="145" t="s">
        <v>1002</v>
      </c>
      <c r="L152" s="145"/>
      <c r="M152" s="145" t="s">
        <v>1003</v>
      </c>
      <c r="N152" s="419" t="s">
        <v>1004</v>
      </c>
      <c r="O152" s="155" t="s">
        <v>1018</v>
      </c>
      <c r="P152" s="145" t="s">
        <v>84</v>
      </c>
      <c r="Q152" s="152"/>
    </row>
    <row r="153" spans="2:17" ht="20.100000000000001" customHeight="1">
      <c r="B153" s="161" t="s">
        <v>23</v>
      </c>
      <c r="C153" s="143">
        <v>45798</v>
      </c>
      <c r="D153" s="143">
        <v>45799</v>
      </c>
      <c r="E153" s="151"/>
      <c r="F153" s="162" t="s">
        <v>106</v>
      </c>
      <c r="G153" s="145" t="s">
        <v>1030</v>
      </c>
      <c r="H153" s="145">
        <v>27</v>
      </c>
      <c r="I153" s="145" t="s">
        <v>146</v>
      </c>
      <c r="J153" s="145" t="s">
        <v>78</v>
      </c>
      <c r="K153" s="145" t="s">
        <v>1031</v>
      </c>
      <c r="L153" s="145"/>
      <c r="M153" s="145" t="s">
        <v>1032</v>
      </c>
      <c r="N153" s="419" t="s">
        <v>1033</v>
      </c>
      <c r="O153" s="155" t="s">
        <v>1065</v>
      </c>
      <c r="P153" s="145" t="s">
        <v>84</v>
      </c>
      <c r="Q153" s="152"/>
    </row>
    <row r="154" spans="2:17" ht="20.100000000000001" customHeight="1">
      <c r="B154" s="161" t="s">
        <v>23</v>
      </c>
      <c r="C154" s="143">
        <v>45799</v>
      </c>
      <c r="D154" s="143">
        <v>45799</v>
      </c>
      <c r="E154" s="151"/>
      <c r="F154" s="162" t="s">
        <v>106</v>
      </c>
      <c r="G154" s="145" t="s">
        <v>1024</v>
      </c>
      <c r="H154" s="145">
        <v>400</v>
      </c>
      <c r="I154" s="145" t="s">
        <v>146</v>
      </c>
      <c r="J154" s="145" t="s">
        <v>72</v>
      </c>
      <c r="K154" s="145" t="s">
        <v>1034</v>
      </c>
      <c r="L154" s="145"/>
      <c r="M154" s="145" t="s">
        <v>1035</v>
      </c>
      <c r="N154" s="419" t="s">
        <v>1036</v>
      </c>
      <c r="O154" s="155" t="s">
        <v>1066</v>
      </c>
      <c r="P154" s="145" t="s">
        <v>84</v>
      </c>
      <c r="Q154" s="152"/>
    </row>
    <row r="155" spans="2:17" ht="20.100000000000001" customHeight="1">
      <c r="B155" s="51" t="s">
        <v>23</v>
      </c>
      <c r="C155" s="32">
        <v>45799</v>
      </c>
      <c r="D155" s="32">
        <v>45800</v>
      </c>
      <c r="E155" s="27"/>
      <c r="F155" s="98" t="s">
        <v>103</v>
      </c>
      <c r="G155" s="34" t="s">
        <v>1037</v>
      </c>
      <c r="H155" s="34">
        <v>20</v>
      </c>
      <c r="I155" s="34" t="s">
        <v>821</v>
      </c>
      <c r="J155" s="34" t="s">
        <v>78</v>
      </c>
      <c r="K155" s="34" t="s">
        <v>1038</v>
      </c>
      <c r="L155" s="34"/>
      <c r="M155" s="34" t="s">
        <v>1039</v>
      </c>
      <c r="N155" s="422" t="s">
        <v>1040</v>
      </c>
      <c r="O155" s="30" t="s">
        <v>1067</v>
      </c>
      <c r="P155" s="34" t="s">
        <v>84</v>
      </c>
      <c r="Q155" s="35"/>
    </row>
    <row r="156" spans="2:17" ht="20.100000000000001" customHeight="1">
      <c r="B156" s="161" t="s">
        <v>23</v>
      </c>
      <c r="C156" s="143">
        <v>45800</v>
      </c>
      <c r="D156" s="143">
        <v>45803</v>
      </c>
      <c r="E156" s="151"/>
      <c r="F156" s="162" t="s">
        <v>106</v>
      </c>
      <c r="G156" s="145" t="s">
        <v>1021</v>
      </c>
      <c r="H156" s="145">
        <v>50</v>
      </c>
      <c r="I156" s="145" t="s">
        <v>114</v>
      </c>
      <c r="J156" s="145" t="s">
        <v>78</v>
      </c>
      <c r="K156" s="145" t="s">
        <v>1041</v>
      </c>
      <c r="L156" s="145"/>
      <c r="M156" s="145" t="s">
        <v>1042</v>
      </c>
      <c r="N156" s="419" t="s">
        <v>1043</v>
      </c>
      <c r="O156" s="155" t="s">
        <v>1068</v>
      </c>
      <c r="P156" s="145" t="s">
        <v>84</v>
      </c>
      <c r="Q156" s="152"/>
    </row>
    <row r="157" spans="2:17" ht="20.100000000000001" customHeight="1">
      <c r="B157" s="51" t="s">
        <v>23</v>
      </c>
      <c r="C157" s="32">
        <v>45803</v>
      </c>
      <c r="D157" s="32">
        <v>45804</v>
      </c>
      <c r="E157" s="27"/>
      <c r="F157" s="98" t="s">
        <v>103</v>
      </c>
      <c r="G157" s="34" t="s">
        <v>1044</v>
      </c>
      <c r="H157" s="34">
        <v>70</v>
      </c>
      <c r="I157" s="34" t="s">
        <v>841</v>
      </c>
      <c r="J157" s="34" t="s">
        <v>72</v>
      </c>
      <c r="K157" s="34" t="s">
        <v>1045</v>
      </c>
      <c r="L157" s="34"/>
      <c r="M157" s="34" t="s">
        <v>1046</v>
      </c>
      <c r="N157" s="422" t="s">
        <v>1047</v>
      </c>
      <c r="O157" s="30" t="s">
        <v>1069</v>
      </c>
      <c r="P157" s="34" t="s">
        <v>84</v>
      </c>
      <c r="Q157" s="35"/>
    </row>
    <row r="158" spans="2:17" ht="20.100000000000001" customHeight="1">
      <c r="B158" s="51" t="s">
        <v>23</v>
      </c>
      <c r="C158" s="32">
        <v>45804</v>
      </c>
      <c r="D158" s="32">
        <v>45804</v>
      </c>
      <c r="E158" s="27"/>
      <c r="F158" s="98" t="s">
        <v>103</v>
      </c>
      <c r="G158" s="34" t="s">
        <v>1048</v>
      </c>
      <c r="H158" s="34">
        <v>60</v>
      </c>
      <c r="I158" s="34" t="s">
        <v>1049</v>
      </c>
      <c r="J158" s="34" t="s">
        <v>72</v>
      </c>
      <c r="K158" s="34" t="s">
        <v>1050</v>
      </c>
      <c r="L158" s="34"/>
      <c r="M158" s="34" t="s">
        <v>1051</v>
      </c>
      <c r="N158" s="422" t="s">
        <v>1052</v>
      </c>
      <c r="O158" s="30" t="s">
        <v>1070</v>
      </c>
      <c r="P158" s="34" t="s">
        <v>84</v>
      </c>
      <c r="Q158" s="35"/>
    </row>
    <row r="159" spans="2:17" ht="20.100000000000001" customHeight="1">
      <c r="B159" s="161" t="s">
        <v>23</v>
      </c>
      <c r="C159" s="143">
        <v>45804</v>
      </c>
      <c r="D159" s="143">
        <v>45806</v>
      </c>
      <c r="E159" s="151"/>
      <c r="F159" s="162" t="s">
        <v>106</v>
      </c>
      <c r="G159" s="145" t="s">
        <v>1053</v>
      </c>
      <c r="H159" s="145">
        <v>55</v>
      </c>
      <c r="I159" s="145" t="s">
        <v>114</v>
      </c>
      <c r="J159" s="145" t="s">
        <v>78</v>
      </c>
      <c r="K159" s="145" t="s">
        <v>1054</v>
      </c>
      <c r="L159" s="145"/>
      <c r="M159" s="145" t="s">
        <v>1055</v>
      </c>
      <c r="N159" s="419" t="s">
        <v>1056</v>
      </c>
      <c r="O159" s="155" t="s">
        <v>1071</v>
      </c>
      <c r="P159" s="145" t="s">
        <v>84</v>
      </c>
      <c r="Q159" s="152"/>
    </row>
    <row r="160" spans="2:17" ht="20.100000000000001" customHeight="1">
      <c r="B160" s="51" t="s">
        <v>23</v>
      </c>
      <c r="C160" s="32">
        <v>45804</v>
      </c>
      <c r="D160" s="32">
        <v>45807</v>
      </c>
      <c r="E160" s="27"/>
      <c r="F160" s="98" t="s">
        <v>103</v>
      </c>
      <c r="G160" s="34" t="s">
        <v>1057</v>
      </c>
      <c r="H160" s="34">
        <v>10</v>
      </c>
      <c r="I160" s="34" t="s">
        <v>448</v>
      </c>
      <c r="J160" s="34" t="s">
        <v>78</v>
      </c>
      <c r="K160" s="34" t="s">
        <v>1058</v>
      </c>
      <c r="L160" s="34"/>
      <c r="M160" s="34" t="s">
        <v>1059</v>
      </c>
      <c r="N160" s="422" t="s">
        <v>1060</v>
      </c>
      <c r="O160" s="30" t="s">
        <v>1072</v>
      </c>
      <c r="P160" s="34" t="s">
        <v>84</v>
      </c>
      <c r="Q160" s="35"/>
    </row>
    <row r="161" spans="2:17" ht="20.100000000000001" customHeight="1">
      <c r="B161" s="178" t="s">
        <v>23</v>
      </c>
      <c r="C161" s="134">
        <v>45804</v>
      </c>
      <c r="D161" s="134">
        <v>45807</v>
      </c>
      <c r="E161" s="177"/>
      <c r="F161" s="179" t="s">
        <v>37</v>
      </c>
      <c r="G161" s="126" t="s">
        <v>1061</v>
      </c>
      <c r="H161" s="126">
        <v>20</v>
      </c>
      <c r="I161" s="126" t="s">
        <v>114</v>
      </c>
      <c r="J161" s="126" t="s">
        <v>72</v>
      </c>
      <c r="K161" s="126" t="s">
        <v>1062</v>
      </c>
      <c r="L161" s="126"/>
      <c r="M161" s="126" t="s">
        <v>1063</v>
      </c>
      <c r="N161" s="427" t="s">
        <v>1064</v>
      </c>
      <c r="O161" s="175"/>
      <c r="P161" s="126" t="s">
        <v>84</v>
      </c>
      <c r="Q161" s="172"/>
    </row>
    <row r="162" spans="2:17" ht="20.100000000000001" customHeight="1">
      <c r="B162" s="51" t="s">
        <v>23</v>
      </c>
      <c r="C162" s="32">
        <v>45805</v>
      </c>
      <c r="D162" s="32">
        <v>45807</v>
      </c>
      <c r="E162" s="27"/>
      <c r="F162" s="98" t="s">
        <v>103</v>
      </c>
      <c r="G162" s="34" t="s">
        <v>1073</v>
      </c>
      <c r="H162" s="34">
        <v>60</v>
      </c>
      <c r="I162" s="34" t="s">
        <v>1074</v>
      </c>
      <c r="J162" s="34" t="s">
        <v>72</v>
      </c>
      <c r="K162" s="34" t="s">
        <v>1075</v>
      </c>
      <c r="L162" s="34"/>
      <c r="M162" s="34" t="s">
        <v>1076</v>
      </c>
      <c r="N162" s="422" t="s">
        <v>1077</v>
      </c>
      <c r="O162" s="30" t="s">
        <v>1078</v>
      </c>
      <c r="P162" s="34" t="s">
        <v>84</v>
      </c>
      <c r="Q162" s="35"/>
    </row>
    <row r="163" spans="2:17" ht="20.100000000000001" customHeight="1">
      <c r="B163" s="161" t="s">
        <v>23</v>
      </c>
      <c r="C163" s="143">
        <v>45806</v>
      </c>
      <c r="D163" s="143">
        <v>45807</v>
      </c>
      <c r="E163" s="151"/>
      <c r="F163" s="162" t="s">
        <v>106</v>
      </c>
      <c r="G163" s="145" t="s">
        <v>1028</v>
      </c>
      <c r="H163" s="145">
        <v>8</v>
      </c>
      <c r="I163" s="145" t="s">
        <v>114</v>
      </c>
      <c r="J163" s="145" t="s">
        <v>72</v>
      </c>
      <c r="K163" s="145" t="s">
        <v>1079</v>
      </c>
      <c r="L163" s="145"/>
      <c r="M163" s="145" t="s">
        <v>1080</v>
      </c>
      <c r="N163" s="419" t="s">
        <v>1081</v>
      </c>
      <c r="O163" s="155" t="s">
        <v>1082</v>
      </c>
      <c r="P163" s="145" t="s">
        <v>84</v>
      </c>
      <c r="Q163" s="152"/>
    </row>
    <row r="164" spans="2:17" ht="20.100000000000001" customHeight="1">
      <c r="B164" s="51" t="s">
        <v>23</v>
      </c>
      <c r="C164" s="32">
        <v>45806</v>
      </c>
      <c r="D164" s="32">
        <v>45807</v>
      </c>
      <c r="E164" s="27"/>
      <c r="F164" s="98" t="s">
        <v>103</v>
      </c>
      <c r="G164" s="34" t="s">
        <v>1083</v>
      </c>
      <c r="H164" s="34">
        <v>5</v>
      </c>
      <c r="I164" s="34" t="s">
        <v>476</v>
      </c>
      <c r="J164" s="34" t="s">
        <v>72</v>
      </c>
      <c r="K164" s="34" t="s">
        <v>1084</v>
      </c>
      <c r="L164" s="34"/>
      <c r="M164" s="34" t="s">
        <v>1085</v>
      </c>
      <c r="N164" s="422" t="s">
        <v>1086</v>
      </c>
      <c r="O164" s="30" t="s">
        <v>1087</v>
      </c>
      <c r="P164" s="34" t="s">
        <v>84</v>
      </c>
      <c r="Q164" s="35"/>
    </row>
    <row r="165" spans="2:17" ht="20.100000000000001" customHeight="1">
      <c r="B165" s="51" t="s">
        <v>24</v>
      </c>
      <c r="C165" s="32">
        <v>45812</v>
      </c>
      <c r="D165" s="32">
        <v>45813</v>
      </c>
      <c r="E165" s="27"/>
      <c r="F165" s="98" t="s">
        <v>237</v>
      </c>
      <c r="G165" s="176" t="s">
        <v>1088</v>
      </c>
      <c r="H165" s="176">
        <v>330</v>
      </c>
      <c r="I165" s="34" t="s">
        <v>1089</v>
      </c>
      <c r="J165" s="34" t="s">
        <v>78</v>
      </c>
      <c r="K165" s="34" t="s">
        <v>267</v>
      </c>
      <c r="L165" s="34"/>
      <c r="M165" s="34" t="s">
        <v>1091</v>
      </c>
      <c r="N165" s="422" t="s">
        <v>1090</v>
      </c>
      <c r="O165" s="30"/>
      <c r="P165" s="34" t="s">
        <v>84</v>
      </c>
      <c r="Q165" s="35"/>
    </row>
    <row r="166" spans="2:17" ht="20.100000000000001" customHeight="1">
      <c r="B166" s="161" t="s">
        <v>24</v>
      </c>
      <c r="C166" s="143">
        <v>45814</v>
      </c>
      <c r="D166" s="143">
        <v>45817</v>
      </c>
      <c r="E166" s="151"/>
      <c r="F166" s="162" t="s">
        <v>106</v>
      </c>
      <c r="G166" s="145" t="s">
        <v>1092</v>
      </c>
      <c r="H166" s="145">
        <v>100</v>
      </c>
      <c r="I166" s="145" t="s">
        <v>1093</v>
      </c>
      <c r="J166" s="145" t="s">
        <v>78</v>
      </c>
      <c r="K166" s="145" t="s">
        <v>1094</v>
      </c>
      <c r="L166" s="145"/>
      <c r="M166" s="145" t="s">
        <v>1095</v>
      </c>
      <c r="N166" s="419" t="s">
        <v>1096</v>
      </c>
      <c r="O166" s="155" t="s">
        <v>1097</v>
      </c>
      <c r="P166" s="145" t="s">
        <v>84</v>
      </c>
      <c r="Q166" s="152"/>
    </row>
    <row r="167" spans="2:17" ht="20.100000000000001" customHeight="1">
      <c r="B167" s="51" t="s">
        <v>24</v>
      </c>
      <c r="C167" s="32">
        <v>45817</v>
      </c>
      <c r="D167" s="32">
        <v>45818</v>
      </c>
      <c r="E167" s="27"/>
      <c r="F167" s="98" t="s">
        <v>103</v>
      </c>
      <c r="G167" s="176" t="s">
        <v>1098</v>
      </c>
      <c r="H167" s="176">
        <v>500</v>
      </c>
      <c r="I167" s="34" t="s">
        <v>186</v>
      </c>
      <c r="J167" s="34" t="s">
        <v>78</v>
      </c>
      <c r="K167" s="34" t="s">
        <v>1099</v>
      </c>
      <c r="L167" s="34"/>
      <c r="M167" s="34" t="s">
        <v>1100</v>
      </c>
      <c r="N167" s="422" t="s">
        <v>1101</v>
      </c>
      <c r="O167" s="30" t="s">
        <v>1102</v>
      </c>
      <c r="P167" s="34" t="s">
        <v>84</v>
      </c>
      <c r="Q167" s="35"/>
    </row>
    <row r="168" spans="2:17" ht="20.100000000000001" customHeight="1">
      <c r="B168" s="161" t="s">
        <v>24</v>
      </c>
      <c r="C168" s="143">
        <v>45819</v>
      </c>
      <c r="D168" s="143">
        <v>45819</v>
      </c>
      <c r="E168" s="151"/>
      <c r="F168" s="162" t="s">
        <v>106</v>
      </c>
      <c r="G168" s="145" t="s">
        <v>1125</v>
      </c>
      <c r="H168" s="145">
        <v>100</v>
      </c>
      <c r="I168" s="145" t="s">
        <v>1126</v>
      </c>
      <c r="J168" s="145" t="s">
        <v>72</v>
      </c>
      <c r="K168" s="145" t="s">
        <v>1127</v>
      </c>
      <c r="L168" s="145"/>
      <c r="M168" s="145" t="s">
        <v>1128</v>
      </c>
      <c r="N168" s="419" t="s">
        <v>1129</v>
      </c>
      <c r="O168" s="155" t="s">
        <v>1195</v>
      </c>
      <c r="P168" s="145" t="s">
        <v>84</v>
      </c>
      <c r="Q168" s="152"/>
    </row>
    <row r="169" spans="2:17" ht="20.100000000000001" customHeight="1">
      <c r="B169" s="161" t="s">
        <v>24</v>
      </c>
      <c r="C169" s="143">
        <v>45819</v>
      </c>
      <c r="D169" s="143">
        <v>45819</v>
      </c>
      <c r="E169" s="151"/>
      <c r="F169" s="162" t="s">
        <v>106</v>
      </c>
      <c r="G169" s="145" t="s">
        <v>1110</v>
      </c>
      <c r="H169" s="145">
        <v>9</v>
      </c>
      <c r="I169" s="145" t="s">
        <v>1130</v>
      </c>
      <c r="J169" s="145" t="s">
        <v>72</v>
      </c>
      <c r="K169" s="145" t="s">
        <v>1131</v>
      </c>
      <c r="L169" s="145"/>
      <c r="M169" s="145" t="s">
        <v>1132</v>
      </c>
      <c r="N169" s="419" t="s">
        <v>1133</v>
      </c>
      <c r="O169" s="155" t="s">
        <v>1196</v>
      </c>
      <c r="P169" s="145" t="s">
        <v>84</v>
      </c>
      <c r="Q169" s="152"/>
    </row>
    <row r="170" spans="2:17" ht="20.100000000000001" customHeight="1">
      <c r="B170" s="51" t="s">
        <v>24</v>
      </c>
      <c r="C170" s="32">
        <v>45820</v>
      </c>
      <c r="D170" s="32">
        <v>45820</v>
      </c>
      <c r="E170" s="27"/>
      <c r="F170" s="98" t="s">
        <v>103</v>
      </c>
      <c r="G170" s="34" t="s">
        <v>1134</v>
      </c>
      <c r="H170" s="34">
        <v>20</v>
      </c>
      <c r="I170" s="34" t="s">
        <v>171</v>
      </c>
      <c r="J170" s="34" t="s">
        <v>72</v>
      </c>
      <c r="K170" s="34" t="s">
        <v>267</v>
      </c>
      <c r="L170" s="34"/>
      <c r="M170" s="34" t="s">
        <v>1135</v>
      </c>
      <c r="N170" s="422" t="s">
        <v>1136</v>
      </c>
      <c r="O170" s="30" t="s">
        <v>1197</v>
      </c>
      <c r="P170" s="34" t="s">
        <v>84</v>
      </c>
      <c r="Q170" s="35"/>
    </row>
    <row r="171" spans="2:17" ht="20.100000000000001" customHeight="1">
      <c r="B171" s="161" t="s">
        <v>24</v>
      </c>
      <c r="C171" s="143">
        <v>45820</v>
      </c>
      <c r="D171" s="143">
        <v>45825</v>
      </c>
      <c r="E171" s="151"/>
      <c r="F171" s="162" t="s">
        <v>106</v>
      </c>
      <c r="G171" s="145" t="s">
        <v>1108</v>
      </c>
      <c r="H171" s="145">
        <v>12</v>
      </c>
      <c r="I171" s="145" t="s">
        <v>429</v>
      </c>
      <c r="J171" s="145" t="s">
        <v>78</v>
      </c>
      <c r="K171" s="145" t="s">
        <v>1142</v>
      </c>
      <c r="L171" s="145"/>
      <c r="M171" s="145" t="s">
        <v>1137</v>
      </c>
      <c r="N171" s="419" t="s">
        <v>1138</v>
      </c>
      <c r="O171" s="155" t="s">
        <v>1198</v>
      </c>
      <c r="P171" s="145" t="s">
        <v>84</v>
      </c>
      <c r="Q171" s="152"/>
    </row>
    <row r="172" spans="2:17" ht="20.100000000000001" customHeight="1">
      <c r="B172" s="51" t="s">
        <v>24</v>
      </c>
      <c r="C172" s="32">
        <v>45827</v>
      </c>
      <c r="D172" s="32">
        <v>45831</v>
      </c>
      <c r="E172" s="27"/>
      <c r="F172" s="98" t="s">
        <v>103</v>
      </c>
      <c r="G172" s="34" t="s">
        <v>1139</v>
      </c>
      <c r="H172" s="34" t="s">
        <v>967</v>
      </c>
      <c r="I172" s="34" t="s">
        <v>255</v>
      </c>
      <c r="J172" s="34" t="s">
        <v>72</v>
      </c>
      <c r="K172" s="34" t="s">
        <v>267</v>
      </c>
      <c r="L172" s="34"/>
      <c r="M172" s="34" t="s">
        <v>1140</v>
      </c>
      <c r="N172" s="422" t="s">
        <v>1141</v>
      </c>
      <c r="O172" s="30" t="s">
        <v>1199</v>
      </c>
      <c r="P172" s="34" t="s">
        <v>84</v>
      </c>
      <c r="Q172" s="35"/>
    </row>
    <row r="173" spans="2:17" ht="20.100000000000001" customHeight="1">
      <c r="B173" s="161" t="s">
        <v>24</v>
      </c>
      <c r="C173" s="143">
        <v>45828</v>
      </c>
      <c r="D173" s="143">
        <v>45832</v>
      </c>
      <c r="E173" s="151"/>
      <c r="F173" s="162" t="s">
        <v>106</v>
      </c>
      <c r="G173" s="145" t="s">
        <v>1111</v>
      </c>
      <c r="H173" s="145">
        <v>87</v>
      </c>
      <c r="I173" s="145" t="s">
        <v>438</v>
      </c>
      <c r="J173" s="145" t="s">
        <v>78</v>
      </c>
      <c r="K173" s="145" t="s">
        <v>1143</v>
      </c>
      <c r="L173" s="145"/>
      <c r="M173" s="145" t="s">
        <v>1144</v>
      </c>
      <c r="N173" s="419" t="s">
        <v>1145</v>
      </c>
      <c r="O173" s="155" t="s">
        <v>1200</v>
      </c>
      <c r="P173" s="145" t="s">
        <v>84</v>
      </c>
      <c r="Q173" s="152"/>
    </row>
    <row r="174" spans="2:17" ht="20.100000000000001" customHeight="1">
      <c r="B174" s="51" t="s">
        <v>24</v>
      </c>
      <c r="C174" s="32">
        <v>45828</v>
      </c>
      <c r="D174" s="32">
        <v>45831</v>
      </c>
      <c r="E174" s="27"/>
      <c r="F174" s="98" t="s">
        <v>103</v>
      </c>
      <c r="G174" s="34" t="s">
        <v>1146</v>
      </c>
      <c r="H174" s="34">
        <v>50</v>
      </c>
      <c r="I174" s="34" t="s">
        <v>1147</v>
      </c>
      <c r="J174" s="34" t="s">
        <v>72</v>
      </c>
      <c r="K174" s="34" t="s">
        <v>267</v>
      </c>
      <c r="L174" s="34"/>
      <c r="M174" s="34" t="s">
        <v>1148</v>
      </c>
      <c r="N174" s="422" t="s">
        <v>1149</v>
      </c>
      <c r="O174" s="30" t="s">
        <v>1201</v>
      </c>
      <c r="P174" s="34" t="s">
        <v>84</v>
      </c>
      <c r="Q174" s="35"/>
    </row>
    <row r="175" spans="2:17" ht="20.100000000000001" customHeight="1">
      <c r="B175" s="51" t="s">
        <v>24</v>
      </c>
      <c r="C175" s="32">
        <v>45831</v>
      </c>
      <c r="D175" s="32">
        <v>45832</v>
      </c>
      <c r="E175" s="27"/>
      <c r="F175" s="98" t="s">
        <v>237</v>
      </c>
      <c r="G175" s="176" t="s">
        <v>1150</v>
      </c>
      <c r="H175" s="176">
        <v>1200</v>
      </c>
      <c r="I175" s="176" t="s">
        <v>429</v>
      </c>
      <c r="J175" s="34" t="s">
        <v>72</v>
      </c>
      <c r="K175" s="34" t="s">
        <v>1151</v>
      </c>
      <c r="L175" s="34"/>
      <c r="M175" s="34" t="s">
        <v>1152</v>
      </c>
      <c r="N175" s="422" t="s">
        <v>1153</v>
      </c>
      <c r="O175" s="30" t="s">
        <v>1202</v>
      </c>
      <c r="P175" s="34" t="s">
        <v>84</v>
      </c>
      <c r="Q175" s="35"/>
    </row>
    <row r="176" spans="2:17" ht="20.100000000000001" customHeight="1">
      <c r="B176" s="51" t="s">
        <v>24</v>
      </c>
      <c r="C176" s="32">
        <v>45832</v>
      </c>
      <c r="D176" s="32">
        <v>45833</v>
      </c>
      <c r="E176" s="27"/>
      <c r="F176" s="98" t="s">
        <v>103</v>
      </c>
      <c r="G176" s="34" t="s">
        <v>1154</v>
      </c>
      <c r="H176" s="34">
        <v>15</v>
      </c>
      <c r="I176" s="34" t="s">
        <v>821</v>
      </c>
      <c r="J176" s="34" t="s">
        <v>72</v>
      </c>
      <c r="K176" s="34" t="s">
        <v>267</v>
      </c>
      <c r="L176" s="34"/>
      <c r="M176" s="34" t="s">
        <v>1155</v>
      </c>
      <c r="N176" s="422" t="s">
        <v>1156</v>
      </c>
      <c r="O176" s="30"/>
      <c r="P176" s="34" t="s">
        <v>84</v>
      </c>
      <c r="Q176" s="35"/>
    </row>
    <row r="177" spans="2:17" ht="20.100000000000001" customHeight="1">
      <c r="B177" s="161" t="s">
        <v>24</v>
      </c>
      <c r="C177" s="143">
        <v>45833</v>
      </c>
      <c r="D177" s="143">
        <v>45834</v>
      </c>
      <c r="E177" s="151"/>
      <c r="F177" s="162" t="s">
        <v>106</v>
      </c>
      <c r="G177" s="145" t="s">
        <v>1157</v>
      </c>
      <c r="H177" s="145">
        <v>10</v>
      </c>
      <c r="I177" s="145" t="s">
        <v>448</v>
      </c>
      <c r="J177" s="145" t="s">
        <v>78</v>
      </c>
      <c r="K177" s="145" t="s">
        <v>1603</v>
      </c>
      <c r="L177" s="145"/>
      <c r="M177" s="145" t="s">
        <v>1158</v>
      </c>
      <c r="N177" s="419" t="s">
        <v>1159</v>
      </c>
      <c r="O177" s="155" t="s">
        <v>1203</v>
      </c>
      <c r="P177" s="145" t="s">
        <v>84</v>
      </c>
      <c r="Q177" s="152"/>
    </row>
    <row r="178" spans="2:17" ht="20.100000000000001" customHeight="1">
      <c r="B178" s="51" t="s">
        <v>24</v>
      </c>
      <c r="C178" s="32">
        <v>45834</v>
      </c>
      <c r="D178" s="32">
        <v>45835</v>
      </c>
      <c r="E178" s="27"/>
      <c r="F178" s="98" t="s">
        <v>103</v>
      </c>
      <c r="G178" s="34" t="s">
        <v>1160</v>
      </c>
      <c r="H178" s="34">
        <v>90</v>
      </c>
      <c r="I178" s="34" t="s">
        <v>1093</v>
      </c>
      <c r="J178" s="34" t="s">
        <v>78</v>
      </c>
      <c r="K178" s="34" t="s">
        <v>267</v>
      </c>
      <c r="L178" s="34"/>
      <c r="M178" s="34" t="s">
        <v>1161</v>
      </c>
      <c r="N178" s="422" t="s">
        <v>1162</v>
      </c>
      <c r="O178" s="30" t="s">
        <v>1204</v>
      </c>
      <c r="P178" s="34" t="s">
        <v>84</v>
      </c>
      <c r="Q178" s="35"/>
    </row>
    <row r="179" spans="2:17" ht="20.100000000000001" customHeight="1">
      <c r="B179" s="51" t="s">
        <v>24</v>
      </c>
      <c r="C179" s="32">
        <v>45834</v>
      </c>
      <c r="D179" s="32">
        <v>45838</v>
      </c>
      <c r="E179" s="27"/>
      <c r="F179" s="98" t="s">
        <v>103</v>
      </c>
      <c r="G179" s="34" t="s">
        <v>1163</v>
      </c>
      <c r="H179" s="34">
        <v>100</v>
      </c>
      <c r="I179" s="34" t="s">
        <v>114</v>
      </c>
      <c r="J179" s="34" t="s">
        <v>72</v>
      </c>
      <c r="K179" s="34" t="s">
        <v>1164</v>
      </c>
      <c r="L179" s="34"/>
      <c r="M179" s="34" t="s">
        <v>1165</v>
      </c>
      <c r="N179" s="422" t="s">
        <v>1166</v>
      </c>
      <c r="O179" s="30" t="s">
        <v>1205</v>
      </c>
      <c r="P179" s="34" t="s">
        <v>84</v>
      </c>
      <c r="Q179" s="35"/>
    </row>
    <row r="180" spans="2:17" ht="20.100000000000001" customHeight="1">
      <c r="B180" s="178" t="s">
        <v>24</v>
      </c>
      <c r="C180" s="134">
        <v>45834</v>
      </c>
      <c r="D180" s="134">
        <v>45835</v>
      </c>
      <c r="E180" s="177"/>
      <c r="F180" s="179" t="s">
        <v>37</v>
      </c>
      <c r="G180" s="126" t="s">
        <v>1167</v>
      </c>
      <c r="H180" s="181" t="s">
        <v>81</v>
      </c>
      <c r="I180" s="126" t="s">
        <v>289</v>
      </c>
      <c r="J180" s="126" t="s">
        <v>72</v>
      </c>
      <c r="K180" s="126" t="s">
        <v>1168</v>
      </c>
      <c r="L180" s="126"/>
      <c r="M180" s="126" t="s">
        <v>1169</v>
      </c>
      <c r="N180" s="427" t="s">
        <v>1170</v>
      </c>
      <c r="O180" s="175" t="s">
        <v>1206</v>
      </c>
      <c r="P180" s="126" t="s">
        <v>84</v>
      </c>
      <c r="Q180" s="172"/>
    </row>
    <row r="181" spans="2:17" ht="20.100000000000001" customHeight="1">
      <c r="B181" s="51" t="s">
        <v>24</v>
      </c>
      <c r="C181" s="32">
        <v>45835</v>
      </c>
      <c r="D181" s="32">
        <v>45838</v>
      </c>
      <c r="E181" s="27"/>
      <c r="F181" s="98" t="s">
        <v>103</v>
      </c>
      <c r="G181" s="34" t="s">
        <v>1171</v>
      </c>
      <c r="H181" s="34">
        <v>35</v>
      </c>
      <c r="I181" s="34" t="s">
        <v>255</v>
      </c>
      <c r="J181" s="34" t="s">
        <v>78</v>
      </c>
      <c r="K181" s="34" t="s">
        <v>267</v>
      </c>
      <c r="L181" s="34"/>
      <c r="M181" s="34" t="s">
        <v>1172</v>
      </c>
      <c r="N181" s="422" t="s">
        <v>1173</v>
      </c>
      <c r="O181" s="30" t="s">
        <v>1207</v>
      </c>
      <c r="P181" s="34" t="s">
        <v>84</v>
      </c>
      <c r="Q181" s="35"/>
    </row>
    <row r="182" spans="2:17" ht="20.100000000000001" customHeight="1">
      <c r="B182" s="161" t="s">
        <v>24</v>
      </c>
      <c r="C182" s="143">
        <v>45835</v>
      </c>
      <c r="D182" s="143">
        <v>45838</v>
      </c>
      <c r="E182" s="151"/>
      <c r="F182" s="162" t="s">
        <v>106</v>
      </c>
      <c r="G182" s="145" t="s">
        <v>1174</v>
      </c>
      <c r="H182" s="145">
        <v>30</v>
      </c>
      <c r="I182" s="145" t="s">
        <v>1175</v>
      </c>
      <c r="J182" s="145" t="s">
        <v>78</v>
      </c>
      <c r="K182" s="145" t="s">
        <v>1176</v>
      </c>
      <c r="L182" s="145"/>
      <c r="M182" s="145" t="s">
        <v>1177</v>
      </c>
      <c r="N182" s="419" t="s">
        <v>1178</v>
      </c>
      <c r="O182" s="155" t="s">
        <v>1208</v>
      </c>
      <c r="P182" s="145" t="s">
        <v>84</v>
      </c>
      <c r="Q182" s="152"/>
    </row>
    <row r="183" spans="2:17" ht="20.100000000000001" customHeight="1">
      <c r="B183" s="197" t="s">
        <v>24</v>
      </c>
      <c r="C183" s="190">
        <v>45835</v>
      </c>
      <c r="D183" s="190">
        <v>45838</v>
      </c>
      <c r="E183" s="191"/>
      <c r="F183" s="198" t="s">
        <v>103</v>
      </c>
      <c r="G183" s="193" t="s">
        <v>1179</v>
      </c>
      <c r="H183" s="193">
        <v>230</v>
      </c>
      <c r="I183" s="193" t="s">
        <v>569</v>
      </c>
      <c r="J183" s="193" t="s">
        <v>78</v>
      </c>
      <c r="K183" s="193" t="s">
        <v>1180</v>
      </c>
      <c r="L183" s="193"/>
      <c r="M183" s="193" t="s">
        <v>1181</v>
      </c>
      <c r="N183" s="426" t="s">
        <v>1182</v>
      </c>
      <c r="O183" s="199" t="s">
        <v>1209</v>
      </c>
      <c r="P183" s="193" t="s">
        <v>84</v>
      </c>
      <c r="Q183" s="196"/>
    </row>
    <row r="184" spans="2:17" ht="20.100000000000001" customHeight="1">
      <c r="B184" s="161" t="s">
        <v>26</v>
      </c>
      <c r="C184" s="143">
        <v>45839</v>
      </c>
      <c r="D184" s="143">
        <v>45840</v>
      </c>
      <c r="E184" s="151"/>
      <c r="F184" s="162" t="s">
        <v>106</v>
      </c>
      <c r="G184" s="145" t="s">
        <v>1119</v>
      </c>
      <c r="H184" s="145">
        <v>20</v>
      </c>
      <c r="I184" s="145" t="s">
        <v>429</v>
      </c>
      <c r="J184" s="145" t="s">
        <v>78</v>
      </c>
      <c r="K184" s="145" t="s">
        <v>1183</v>
      </c>
      <c r="L184" s="145"/>
      <c r="M184" s="145" t="s">
        <v>1184</v>
      </c>
      <c r="N184" s="419" t="s">
        <v>1185</v>
      </c>
      <c r="O184" s="155" t="s">
        <v>1210</v>
      </c>
      <c r="P184" s="145" t="s">
        <v>84</v>
      </c>
      <c r="Q184" s="152"/>
    </row>
    <row r="185" spans="2:17" ht="20.100000000000001" customHeight="1">
      <c r="B185" s="51" t="s">
        <v>26</v>
      </c>
      <c r="C185" s="32">
        <v>45839</v>
      </c>
      <c r="D185" s="32">
        <v>45841</v>
      </c>
      <c r="E185" s="27"/>
      <c r="F185" s="98" t="s">
        <v>103</v>
      </c>
      <c r="G185" s="34" t="s">
        <v>1186</v>
      </c>
      <c r="H185" s="34">
        <v>10</v>
      </c>
      <c r="I185" s="34" t="s">
        <v>1187</v>
      </c>
      <c r="J185" s="34" t="s">
        <v>78</v>
      </c>
      <c r="K185" s="34" t="s">
        <v>1188</v>
      </c>
      <c r="L185" s="34"/>
      <c r="M185" s="34" t="s">
        <v>1189</v>
      </c>
      <c r="N185" s="422" t="s">
        <v>1190</v>
      </c>
      <c r="O185" s="30" t="s">
        <v>1211</v>
      </c>
      <c r="P185" s="34" t="s">
        <v>84</v>
      </c>
      <c r="Q185" s="35"/>
    </row>
    <row r="186" spans="2:17" ht="20.100000000000001" customHeight="1">
      <c r="B186" s="178" t="s">
        <v>26</v>
      </c>
      <c r="C186" s="134">
        <v>45839</v>
      </c>
      <c r="D186" s="134">
        <v>45842</v>
      </c>
      <c r="E186" s="177"/>
      <c r="F186" s="179" t="s">
        <v>37</v>
      </c>
      <c r="G186" s="126" t="s">
        <v>1191</v>
      </c>
      <c r="H186" s="126">
        <v>3</v>
      </c>
      <c r="I186" s="126" t="s">
        <v>178</v>
      </c>
      <c r="J186" s="126" t="s">
        <v>72</v>
      </c>
      <c r="K186" s="126" t="s">
        <v>1192</v>
      </c>
      <c r="L186" s="126"/>
      <c r="M186" s="126" t="s">
        <v>1193</v>
      </c>
      <c r="N186" s="427" t="s">
        <v>1194</v>
      </c>
      <c r="O186" s="175" t="s">
        <v>1212</v>
      </c>
      <c r="P186" s="126" t="s">
        <v>84</v>
      </c>
      <c r="Q186" s="172"/>
    </row>
    <row r="187" spans="2:17" ht="20.100000000000001" customHeight="1">
      <c r="B187" s="161" t="s">
        <v>26</v>
      </c>
      <c r="C187" s="143">
        <v>45840</v>
      </c>
      <c r="D187" s="143">
        <v>45845</v>
      </c>
      <c r="E187" s="151"/>
      <c r="F187" s="162" t="s">
        <v>106</v>
      </c>
      <c r="G187" s="145" t="s">
        <v>1121</v>
      </c>
      <c r="H187" s="145">
        <v>14</v>
      </c>
      <c r="I187" s="145" t="s">
        <v>171</v>
      </c>
      <c r="J187" s="145" t="s">
        <v>78</v>
      </c>
      <c r="K187" s="145" t="s">
        <v>1213</v>
      </c>
      <c r="L187" s="145"/>
      <c r="M187" s="145" t="s">
        <v>1214</v>
      </c>
      <c r="N187" s="419" t="s">
        <v>1215</v>
      </c>
      <c r="O187" s="155" t="s">
        <v>1261</v>
      </c>
      <c r="P187" s="145" t="s">
        <v>84</v>
      </c>
      <c r="Q187" s="152"/>
    </row>
    <row r="188" spans="2:17" ht="20.100000000000001" customHeight="1">
      <c r="B188" s="161" t="s">
        <v>26</v>
      </c>
      <c r="C188" s="143">
        <v>45842</v>
      </c>
      <c r="D188" s="143">
        <v>45842</v>
      </c>
      <c r="E188" s="151"/>
      <c r="F188" s="162" t="s">
        <v>106</v>
      </c>
      <c r="G188" s="145" t="s">
        <v>1116</v>
      </c>
      <c r="H188" s="145">
        <v>7</v>
      </c>
      <c r="I188" s="145" t="s">
        <v>1216</v>
      </c>
      <c r="J188" s="145" t="s">
        <v>78</v>
      </c>
      <c r="K188" s="145" t="s">
        <v>1217</v>
      </c>
      <c r="L188" s="145"/>
      <c r="M188" s="145" t="s">
        <v>1218</v>
      </c>
      <c r="N188" s="419" t="s">
        <v>1219</v>
      </c>
      <c r="O188" s="155" t="s">
        <v>1262</v>
      </c>
      <c r="P188" s="145" t="s">
        <v>84</v>
      </c>
      <c r="Q188" s="152"/>
    </row>
    <row r="189" spans="2:17" ht="20.100000000000001" customHeight="1">
      <c r="B189" s="51" t="s">
        <v>26</v>
      </c>
      <c r="C189" s="32">
        <v>45842</v>
      </c>
      <c r="D189" s="32">
        <v>45842</v>
      </c>
      <c r="E189" s="27"/>
      <c r="F189" s="98" t="s">
        <v>103</v>
      </c>
      <c r="G189" s="34" t="s">
        <v>1220</v>
      </c>
      <c r="H189" s="34">
        <v>3</v>
      </c>
      <c r="I189" s="34" t="s">
        <v>114</v>
      </c>
      <c r="J189" s="34" t="s">
        <v>78</v>
      </c>
      <c r="K189" s="34" t="s">
        <v>267</v>
      </c>
      <c r="L189" s="34"/>
      <c r="M189" s="34" t="s">
        <v>1221</v>
      </c>
      <c r="N189" s="422" t="s">
        <v>1222</v>
      </c>
      <c r="O189" s="30" t="s">
        <v>1263</v>
      </c>
      <c r="P189" s="34" t="s">
        <v>84</v>
      </c>
      <c r="Q189" s="35"/>
    </row>
    <row r="190" spans="2:17" ht="20.100000000000001" customHeight="1">
      <c r="B190" s="178" t="s">
        <v>26</v>
      </c>
      <c r="C190" s="134">
        <v>45842</v>
      </c>
      <c r="D190" s="134">
        <v>45842</v>
      </c>
      <c r="E190" s="177"/>
      <c r="F190" s="179" t="s">
        <v>37</v>
      </c>
      <c r="G190" s="126" t="s">
        <v>1223</v>
      </c>
      <c r="H190" s="126">
        <v>800</v>
      </c>
      <c r="I190" s="126" t="s">
        <v>569</v>
      </c>
      <c r="J190" s="126" t="s">
        <v>78</v>
      </c>
      <c r="K190" s="126" t="s">
        <v>1224</v>
      </c>
      <c r="L190" s="126"/>
      <c r="M190" s="126" t="s">
        <v>1225</v>
      </c>
      <c r="N190" s="427" t="s">
        <v>1226</v>
      </c>
      <c r="O190" s="175" t="s">
        <v>1264</v>
      </c>
      <c r="P190" s="126" t="s">
        <v>84</v>
      </c>
      <c r="Q190" s="172"/>
    </row>
    <row r="191" spans="2:17" ht="20.100000000000001" customHeight="1">
      <c r="B191" s="51" t="s">
        <v>26</v>
      </c>
      <c r="C191" s="32">
        <v>45842</v>
      </c>
      <c r="D191" s="32">
        <v>45842</v>
      </c>
      <c r="E191" s="27"/>
      <c r="F191" s="98" t="s">
        <v>103</v>
      </c>
      <c r="G191" s="34" t="s">
        <v>1227</v>
      </c>
      <c r="H191" s="34">
        <v>23</v>
      </c>
      <c r="I191" s="34" t="s">
        <v>330</v>
      </c>
      <c r="J191" s="34" t="s">
        <v>72</v>
      </c>
      <c r="K191" s="34" t="s">
        <v>1228</v>
      </c>
      <c r="L191" s="34"/>
      <c r="M191" s="34" t="s">
        <v>1229</v>
      </c>
      <c r="N191" s="422" t="s">
        <v>1230</v>
      </c>
      <c r="O191" s="30" t="s">
        <v>1265</v>
      </c>
      <c r="P191" s="34" t="s">
        <v>84</v>
      </c>
      <c r="Q191" s="35"/>
    </row>
    <row r="192" spans="2:17" ht="20.100000000000001" customHeight="1">
      <c r="B192" s="51" t="s">
        <v>26</v>
      </c>
      <c r="C192" s="32">
        <v>45845</v>
      </c>
      <c r="D192" s="32">
        <v>45847</v>
      </c>
      <c r="E192" s="27"/>
      <c r="F192" s="98" t="s">
        <v>103</v>
      </c>
      <c r="G192" s="34" t="s">
        <v>1231</v>
      </c>
      <c r="H192" s="34">
        <v>35</v>
      </c>
      <c r="I192" s="34" t="s">
        <v>255</v>
      </c>
      <c r="J192" s="34" t="s">
        <v>78</v>
      </c>
      <c r="K192" s="34" t="s">
        <v>267</v>
      </c>
      <c r="L192" s="34"/>
      <c r="M192" s="34" t="s">
        <v>1232</v>
      </c>
      <c r="N192" s="422" t="s">
        <v>1233</v>
      </c>
      <c r="O192" s="30" t="s">
        <v>1266</v>
      </c>
      <c r="P192" s="34" t="s">
        <v>84</v>
      </c>
      <c r="Q192" s="35"/>
    </row>
    <row r="193" spans="2:17" ht="20.100000000000001" customHeight="1">
      <c r="B193" s="197" t="s">
        <v>26</v>
      </c>
      <c r="C193" s="190">
        <v>45845</v>
      </c>
      <c r="D193" s="190">
        <v>45847</v>
      </c>
      <c r="E193" s="191"/>
      <c r="F193" s="198" t="s">
        <v>103</v>
      </c>
      <c r="G193" s="193" t="s">
        <v>1234</v>
      </c>
      <c r="H193" s="193">
        <v>150</v>
      </c>
      <c r="I193" s="193" t="s">
        <v>1235</v>
      </c>
      <c r="J193" s="193" t="s">
        <v>78</v>
      </c>
      <c r="K193" s="193" t="s">
        <v>267</v>
      </c>
      <c r="L193" s="193"/>
      <c r="M193" s="193" t="s">
        <v>1236</v>
      </c>
      <c r="N193" s="426" t="s">
        <v>1237</v>
      </c>
      <c r="O193" s="199" t="s">
        <v>1267</v>
      </c>
      <c r="P193" s="193" t="s">
        <v>84</v>
      </c>
      <c r="Q193" s="196"/>
    </row>
    <row r="194" spans="2:17" ht="20.100000000000001" customHeight="1">
      <c r="B194" s="161" t="s">
        <v>26</v>
      </c>
      <c r="C194" s="143">
        <v>45846</v>
      </c>
      <c r="D194" s="143">
        <v>45847</v>
      </c>
      <c r="E194" s="151"/>
      <c r="F194" s="162" t="s">
        <v>106</v>
      </c>
      <c r="G194" s="145" t="s">
        <v>1238</v>
      </c>
      <c r="H194" s="145">
        <v>6</v>
      </c>
      <c r="I194" s="145" t="s">
        <v>289</v>
      </c>
      <c r="J194" s="145" t="s">
        <v>72</v>
      </c>
      <c r="K194" s="145" t="s">
        <v>1239</v>
      </c>
      <c r="L194" s="145"/>
      <c r="M194" s="145" t="s">
        <v>1240</v>
      </c>
      <c r="N194" s="419" t="s">
        <v>1241</v>
      </c>
      <c r="O194" s="155" t="s">
        <v>1268</v>
      </c>
      <c r="P194" s="145" t="s">
        <v>84</v>
      </c>
      <c r="Q194" s="152"/>
    </row>
    <row r="195" spans="2:17" ht="20.100000000000001" customHeight="1">
      <c r="B195" s="197" t="s">
        <v>26</v>
      </c>
      <c r="C195" s="190">
        <v>45847</v>
      </c>
      <c r="D195" s="190">
        <v>45847</v>
      </c>
      <c r="E195" s="191"/>
      <c r="F195" s="198" t="s">
        <v>103</v>
      </c>
      <c r="G195" s="193" t="s">
        <v>1242</v>
      </c>
      <c r="H195" s="193">
        <v>3000</v>
      </c>
      <c r="I195" s="193" t="s">
        <v>178</v>
      </c>
      <c r="J195" s="193" t="s">
        <v>72</v>
      </c>
      <c r="K195" s="193" t="s">
        <v>1243</v>
      </c>
      <c r="L195" s="193"/>
      <c r="M195" s="193" t="s">
        <v>1244</v>
      </c>
      <c r="N195" s="426" t="s">
        <v>1245</v>
      </c>
      <c r="O195" s="199" t="s">
        <v>1269</v>
      </c>
      <c r="P195" s="193" t="s">
        <v>84</v>
      </c>
      <c r="Q195" s="196"/>
    </row>
    <row r="196" spans="2:17" ht="20.100000000000001" customHeight="1">
      <c r="B196" s="197" t="s">
        <v>26</v>
      </c>
      <c r="C196" s="190">
        <v>45847</v>
      </c>
      <c r="D196" s="190">
        <v>45848</v>
      </c>
      <c r="E196" s="191"/>
      <c r="F196" s="198" t="s">
        <v>103</v>
      </c>
      <c r="G196" s="193" t="s">
        <v>1246</v>
      </c>
      <c r="H196" s="193">
        <v>270</v>
      </c>
      <c r="I196" s="193" t="s">
        <v>114</v>
      </c>
      <c r="J196" s="193" t="s">
        <v>78</v>
      </c>
      <c r="K196" s="193" t="s">
        <v>267</v>
      </c>
      <c r="L196" s="193"/>
      <c r="M196" s="193" t="s">
        <v>1247</v>
      </c>
      <c r="N196" s="426" t="s">
        <v>1248</v>
      </c>
      <c r="O196" s="199" t="s">
        <v>1257</v>
      </c>
      <c r="P196" s="193" t="s">
        <v>84</v>
      </c>
      <c r="Q196" s="196"/>
    </row>
    <row r="197" spans="2:17" ht="20.100000000000001" customHeight="1">
      <c r="B197" s="51" t="s">
        <v>26</v>
      </c>
      <c r="C197" s="32">
        <v>45848</v>
      </c>
      <c r="D197" s="32">
        <v>45852</v>
      </c>
      <c r="E197" s="27"/>
      <c r="F197" s="98" t="s">
        <v>103</v>
      </c>
      <c r="G197" s="34" t="s">
        <v>1249</v>
      </c>
      <c r="H197" s="34">
        <v>10</v>
      </c>
      <c r="I197" s="34" t="s">
        <v>114</v>
      </c>
      <c r="J197" s="34" t="s">
        <v>72</v>
      </c>
      <c r="K197" s="34" t="s">
        <v>267</v>
      </c>
      <c r="L197" s="34"/>
      <c r="M197" s="34" t="s">
        <v>1250</v>
      </c>
      <c r="N197" s="422" t="s">
        <v>1251</v>
      </c>
      <c r="O197" s="30" t="s">
        <v>1270</v>
      </c>
      <c r="P197" s="34" t="s">
        <v>84</v>
      </c>
      <c r="Q197" s="35"/>
    </row>
    <row r="198" spans="2:17" ht="20.100000000000001" customHeight="1">
      <c r="B198" s="161" t="s">
        <v>26</v>
      </c>
      <c r="C198" s="143">
        <v>45848</v>
      </c>
      <c r="D198" s="143">
        <v>45852</v>
      </c>
      <c r="E198" s="151"/>
      <c r="F198" s="162" t="s">
        <v>106</v>
      </c>
      <c r="G198" s="145" t="s">
        <v>1252</v>
      </c>
      <c r="H198" s="145">
        <v>7</v>
      </c>
      <c r="I198" s="145" t="s">
        <v>1253</v>
      </c>
      <c r="J198" s="145" t="s">
        <v>78</v>
      </c>
      <c r="K198" s="145" t="s">
        <v>267</v>
      </c>
      <c r="L198" s="145"/>
      <c r="M198" s="145" t="s">
        <v>1254</v>
      </c>
      <c r="N198" s="419" t="s">
        <v>1255</v>
      </c>
      <c r="O198" s="155" t="s">
        <v>1256</v>
      </c>
      <c r="P198" s="145" t="s">
        <v>84</v>
      </c>
      <c r="Q198" s="152"/>
    </row>
    <row r="199" spans="2:17" ht="20.100000000000001" customHeight="1">
      <c r="B199" s="161" t="s">
        <v>26</v>
      </c>
      <c r="C199" s="143">
        <v>45849</v>
      </c>
      <c r="D199" s="143">
        <v>45849</v>
      </c>
      <c r="E199" s="151"/>
      <c r="F199" s="162" t="s">
        <v>106</v>
      </c>
      <c r="G199" s="145" t="s">
        <v>1258</v>
      </c>
      <c r="H199" s="145">
        <v>10</v>
      </c>
      <c r="I199" s="145" t="s">
        <v>114</v>
      </c>
      <c r="J199" s="145" t="s">
        <v>78</v>
      </c>
      <c r="K199" s="145" t="s">
        <v>267</v>
      </c>
      <c r="L199" s="145"/>
      <c r="M199" s="145" t="s">
        <v>1259</v>
      </c>
      <c r="N199" s="419" t="s">
        <v>1260</v>
      </c>
      <c r="O199" s="155" t="s">
        <v>1271</v>
      </c>
      <c r="P199" s="145" t="s">
        <v>84</v>
      </c>
      <c r="Q199" s="152"/>
    </row>
    <row r="200" spans="2:17" ht="20.100000000000001" customHeight="1">
      <c r="B200" s="197" t="s">
        <v>26</v>
      </c>
      <c r="C200" s="190">
        <v>45861</v>
      </c>
      <c r="D200" s="190">
        <v>45862</v>
      </c>
      <c r="E200" s="191"/>
      <c r="F200" s="198" t="s">
        <v>103</v>
      </c>
      <c r="G200" s="193" t="s">
        <v>1283</v>
      </c>
      <c r="H200" s="193">
        <v>100</v>
      </c>
      <c r="I200" s="193" t="s">
        <v>1284</v>
      </c>
      <c r="J200" s="193" t="s">
        <v>78</v>
      </c>
      <c r="K200" s="193" t="s">
        <v>1285</v>
      </c>
      <c r="L200" s="193"/>
      <c r="M200" s="193" t="s">
        <v>1286</v>
      </c>
      <c r="N200" s="426" t="s">
        <v>1287</v>
      </c>
      <c r="O200" s="199" t="s">
        <v>1288</v>
      </c>
      <c r="P200" s="193" t="s">
        <v>84</v>
      </c>
      <c r="Q200" s="196"/>
    </row>
    <row r="201" spans="2:17" ht="20.100000000000001" customHeight="1">
      <c r="B201" s="197" t="s">
        <v>26</v>
      </c>
      <c r="C201" s="190">
        <v>45861</v>
      </c>
      <c r="D201" s="190">
        <v>45862</v>
      </c>
      <c r="E201" s="191"/>
      <c r="F201" s="198" t="s">
        <v>103</v>
      </c>
      <c r="G201" s="193" t="s">
        <v>1289</v>
      </c>
      <c r="H201" s="193">
        <v>30</v>
      </c>
      <c r="I201" s="193" t="s">
        <v>438</v>
      </c>
      <c r="J201" s="193" t="s">
        <v>78</v>
      </c>
      <c r="K201" s="193" t="s">
        <v>267</v>
      </c>
      <c r="L201" s="193"/>
      <c r="M201" s="193" t="s">
        <v>1290</v>
      </c>
      <c r="N201" s="426" t="s">
        <v>1291</v>
      </c>
      <c r="O201" s="199" t="s">
        <v>1292</v>
      </c>
      <c r="P201" s="193" t="s">
        <v>84</v>
      </c>
      <c r="Q201" s="196"/>
    </row>
    <row r="202" spans="2:17" ht="20.100000000000001" customHeight="1">
      <c r="B202" s="178" t="s">
        <v>26</v>
      </c>
      <c r="C202" s="134">
        <v>45863</v>
      </c>
      <c r="D202" s="134">
        <v>45867</v>
      </c>
      <c r="E202" s="177"/>
      <c r="F202" s="179" t="s">
        <v>37</v>
      </c>
      <c r="G202" s="126" t="s">
        <v>1293</v>
      </c>
      <c r="H202" s="126">
        <v>10</v>
      </c>
      <c r="I202" s="126" t="s">
        <v>114</v>
      </c>
      <c r="J202" s="126" t="s">
        <v>72</v>
      </c>
      <c r="K202" s="126" t="s">
        <v>267</v>
      </c>
      <c r="L202" s="126"/>
      <c r="M202" s="126" t="s">
        <v>1294</v>
      </c>
      <c r="N202" s="427" t="s">
        <v>1295</v>
      </c>
      <c r="O202" s="175" t="s">
        <v>1296</v>
      </c>
      <c r="P202" s="126" t="s">
        <v>84</v>
      </c>
      <c r="Q202" s="172" t="s">
        <v>1305</v>
      </c>
    </row>
    <row r="203" spans="2:17" ht="20.100000000000001" customHeight="1">
      <c r="B203" s="161" t="s">
        <v>26</v>
      </c>
      <c r="C203" s="143">
        <v>45867</v>
      </c>
      <c r="D203" s="143">
        <v>45867</v>
      </c>
      <c r="E203" s="151"/>
      <c r="F203" s="162" t="s">
        <v>106</v>
      </c>
      <c r="G203" s="145" t="s">
        <v>1297</v>
      </c>
      <c r="H203" s="145">
        <v>42</v>
      </c>
      <c r="I203" s="145" t="s">
        <v>448</v>
      </c>
      <c r="J203" s="145" t="s">
        <v>78</v>
      </c>
      <c r="K203" s="145" t="s">
        <v>1604</v>
      </c>
      <c r="L203" s="145"/>
      <c r="M203" s="145" t="s">
        <v>1298</v>
      </c>
      <c r="N203" s="419" t="s">
        <v>1299</v>
      </c>
      <c r="O203" s="155"/>
      <c r="P203" s="145" t="s">
        <v>84</v>
      </c>
      <c r="Q203" s="152"/>
    </row>
    <row r="204" spans="2:17" ht="20.100000000000001" customHeight="1">
      <c r="B204" s="197" t="s">
        <v>26</v>
      </c>
      <c r="C204" s="190">
        <v>45867</v>
      </c>
      <c r="D204" s="190">
        <v>45867</v>
      </c>
      <c r="E204" s="191"/>
      <c r="F204" s="198" t="s">
        <v>103</v>
      </c>
      <c r="G204" s="193" t="s">
        <v>1300</v>
      </c>
      <c r="H204" s="193">
        <v>40</v>
      </c>
      <c r="I204" s="193" t="s">
        <v>330</v>
      </c>
      <c r="J204" s="193" t="s">
        <v>78</v>
      </c>
      <c r="K204" s="193" t="s">
        <v>1301</v>
      </c>
      <c r="L204" s="193"/>
      <c r="M204" s="193" t="s">
        <v>1302</v>
      </c>
      <c r="N204" s="426" t="s">
        <v>1303</v>
      </c>
      <c r="O204" s="199" t="s">
        <v>1304</v>
      </c>
      <c r="P204" s="193" t="s">
        <v>84</v>
      </c>
      <c r="Q204" s="196"/>
    </row>
    <row r="205" spans="2:17" ht="20.100000000000001" customHeight="1">
      <c r="B205" s="51" t="s">
        <v>26</v>
      </c>
      <c r="C205" s="32">
        <v>45868</v>
      </c>
      <c r="D205" s="32">
        <v>45868</v>
      </c>
      <c r="E205" s="27"/>
      <c r="F205" s="98" t="s">
        <v>103</v>
      </c>
      <c r="G205" s="34" t="s">
        <v>1316</v>
      </c>
      <c r="H205" s="34">
        <v>15</v>
      </c>
      <c r="I205" s="34" t="s">
        <v>448</v>
      </c>
      <c r="J205" s="34" t="s">
        <v>78</v>
      </c>
      <c r="K205" s="34" t="s">
        <v>1319</v>
      </c>
      <c r="L205" s="34"/>
      <c r="M205" s="34" t="s">
        <v>1317</v>
      </c>
      <c r="N205" s="422" t="s">
        <v>1318</v>
      </c>
      <c r="O205" s="30" t="s">
        <v>1358</v>
      </c>
      <c r="P205" s="34" t="s">
        <v>84</v>
      </c>
      <c r="Q205" s="35"/>
    </row>
    <row r="206" spans="2:17" ht="20.100000000000001" customHeight="1">
      <c r="B206" s="178" t="s">
        <v>26</v>
      </c>
      <c r="C206" s="134">
        <v>45868</v>
      </c>
      <c r="D206" s="134">
        <v>45868</v>
      </c>
      <c r="E206" s="177"/>
      <c r="F206" s="179" t="s">
        <v>37</v>
      </c>
      <c r="G206" s="126" t="s">
        <v>1320</v>
      </c>
      <c r="H206" s="126">
        <v>60</v>
      </c>
      <c r="I206" s="126" t="s">
        <v>821</v>
      </c>
      <c r="J206" s="126" t="s">
        <v>72</v>
      </c>
      <c r="K206" s="126" t="s">
        <v>1332</v>
      </c>
      <c r="L206" s="126"/>
      <c r="M206" s="126" t="s">
        <v>1321</v>
      </c>
      <c r="N206" s="427" t="s">
        <v>1322</v>
      </c>
      <c r="O206" s="175" t="s">
        <v>1338</v>
      </c>
      <c r="P206" s="126" t="s">
        <v>84</v>
      </c>
      <c r="Q206" s="172" t="s">
        <v>1333</v>
      </c>
    </row>
    <row r="207" spans="2:17" ht="20.100000000000001" customHeight="1">
      <c r="B207" s="197" t="s">
        <v>26</v>
      </c>
      <c r="C207" s="190">
        <v>45868</v>
      </c>
      <c r="D207" s="190">
        <v>45868</v>
      </c>
      <c r="E207" s="191"/>
      <c r="F207" s="198" t="s">
        <v>103</v>
      </c>
      <c r="G207" s="193" t="s">
        <v>1323</v>
      </c>
      <c r="H207" s="193">
        <v>50</v>
      </c>
      <c r="I207" s="193" t="s">
        <v>1324</v>
      </c>
      <c r="J207" s="193" t="s">
        <v>72</v>
      </c>
      <c r="K207" s="193" t="s">
        <v>267</v>
      </c>
      <c r="L207" s="193"/>
      <c r="M207" s="193" t="s">
        <v>1325</v>
      </c>
      <c r="N207" s="426" t="s">
        <v>1326</v>
      </c>
      <c r="O207" s="199" t="s">
        <v>1327</v>
      </c>
      <c r="P207" s="193" t="s">
        <v>84</v>
      </c>
      <c r="Q207" s="196"/>
    </row>
    <row r="208" spans="2:17" ht="20.100000000000001" customHeight="1">
      <c r="B208" s="178" t="s">
        <v>26</v>
      </c>
      <c r="C208" s="134">
        <v>45868</v>
      </c>
      <c r="D208" s="134">
        <v>45868</v>
      </c>
      <c r="E208" s="177"/>
      <c r="F208" s="179" t="s">
        <v>37</v>
      </c>
      <c r="G208" s="126" t="s">
        <v>1328</v>
      </c>
      <c r="H208" s="181">
        <v>17</v>
      </c>
      <c r="I208" s="126"/>
      <c r="J208" s="126"/>
      <c r="K208" s="126" t="s">
        <v>1605</v>
      </c>
      <c r="L208" s="126"/>
      <c r="M208" s="126" t="s">
        <v>1329</v>
      </c>
      <c r="N208" s="427" t="s">
        <v>1330</v>
      </c>
      <c r="O208" s="175" t="s">
        <v>1331</v>
      </c>
      <c r="P208" s="126" t="s">
        <v>84</v>
      </c>
      <c r="Q208" s="172" t="s">
        <v>1794</v>
      </c>
    </row>
    <row r="209" spans="2:17" ht="20.100000000000001" customHeight="1">
      <c r="B209" s="178" t="s">
        <v>26</v>
      </c>
      <c r="C209" s="134">
        <v>45869</v>
      </c>
      <c r="D209" s="134">
        <v>45869</v>
      </c>
      <c r="E209" s="177"/>
      <c r="F209" s="179" t="s">
        <v>37</v>
      </c>
      <c r="G209" s="126" t="s">
        <v>1334</v>
      </c>
      <c r="H209" s="126">
        <v>30</v>
      </c>
      <c r="I209" s="126" t="s">
        <v>289</v>
      </c>
      <c r="J209" s="126" t="s">
        <v>72</v>
      </c>
      <c r="K209" s="126" t="s">
        <v>1335</v>
      </c>
      <c r="L209" s="126"/>
      <c r="M209" s="126" t="s">
        <v>1336</v>
      </c>
      <c r="N209" s="427" t="s">
        <v>1337</v>
      </c>
      <c r="O209" s="175" t="s">
        <v>1349</v>
      </c>
      <c r="P209" s="126" t="s">
        <v>84</v>
      </c>
      <c r="Q209" s="172" t="s">
        <v>1606</v>
      </c>
    </row>
    <row r="210" spans="2:17" ht="20.100000000000001" customHeight="1">
      <c r="B210" s="51" t="s">
        <v>26</v>
      </c>
      <c r="C210" s="32">
        <v>45868</v>
      </c>
      <c r="D210" s="32">
        <v>45870</v>
      </c>
      <c r="E210" s="27"/>
      <c r="F210" s="98" t="s">
        <v>103</v>
      </c>
      <c r="G210" s="34" t="s">
        <v>1339</v>
      </c>
      <c r="H210" s="34">
        <v>20</v>
      </c>
      <c r="I210" s="34" t="s">
        <v>1340</v>
      </c>
      <c r="J210" s="34" t="s">
        <v>72</v>
      </c>
      <c r="K210" s="34" t="s">
        <v>1341</v>
      </c>
      <c r="L210" s="34"/>
      <c r="M210" s="34" t="s">
        <v>1342</v>
      </c>
      <c r="N210" s="422" t="s">
        <v>1343</v>
      </c>
      <c r="O210" s="30" t="s">
        <v>1344</v>
      </c>
      <c r="P210" s="34" t="s">
        <v>84</v>
      </c>
      <c r="Q210" s="35"/>
    </row>
    <row r="211" spans="2:17" ht="20.100000000000001" customHeight="1">
      <c r="B211" s="197" t="s">
        <v>27</v>
      </c>
      <c r="C211" s="190">
        <v>45870</v>
      </c>
      <c r="D211" s="190">
        <v>45873</v>
      </c>
      <c r="E211" s="191"/>
      <c r="F211" s="198" t="s">
        <v>103</v>
      </c>
      <c r="G211" s="193" t="s">
        <v>1345</v>
      </c>
      <c r="H211" s="193">
        <v>70</v>
      </c>
      <c r="I211" s="193" t="s">
        <v>858</v>
      </c>
      <c r="J211" s="193" t="s">
        <v>78</v>
      </c>
      <c r="K211" s="193" t="s">
        <v>267</v>
      </c>
      <c r="L211" s="193"/>
      <c r="M211" s="193" t="s">
        <v>1346</v>
      </c>
      <c r="N211" s="426" t="s">
        <v>1347</v>
      </c>
      <c r="O211" s="199" t="s">
        <v>1348</v>
      </c>
      <c r="P211" s="193" t="s">
        <v>84</v>
      </c>
      <c r="Q211" s="196"/>
    </row>
    <row r="212" spans="2:17" ht="20.100000000000001" customHeight="1">
      <c r="B212" s="197" t="s">
        <v>27</v>
      </c>
      <c r="C212" s="190">
        <v>45870</v>
      </c>
      <c r="D212" s="190">
        <v>45873</v>
      </c>
      <c r="E212" s="191"/>
      <c r="F212" s="198" t="s">
        <v>103</v>
      </c>
      <c r="G212" s="193" t="s">
        <v>111</v>
      </c>
      <c r="H212" s="193">
        <v>250</v>
      </c>
      <c r="I212" s="193" t="s">
        <v>867</v>
      </c>
      <c r="J212" s="193" t="s">
        <v>72</v>
      </c>
      <c r="K212" s="193" t="s">
        <v>1350</v>
      </c>
      <c r="L212" s="193"/>
      <c r="M212" s="193" t="s">
        <v>1351</v>
      </c>
      <c r="N212" s="426" t="s">
        <v>1352</v>
      </c>
      <c r="O212" s="199" t="s">
        <v>1353</v>
      </c>
      <c r="P212" s="193" t="s">
        <v>84</v>
      </c>
      <c r="Q212" s="196"/>
    </row>
    <row r="213" spans="2:17" ht="20.100000000000001" customHeight="1">
      <c r="B213" s="200" t="s">
        <v>27</v>
      </c>
      <c r="C213" s="201">
        <v>45870</v>
      </c>
      <c r="D213" s="201">
        <v>45873</v>
      </c>
      <c r="E213" s="202"/>
      <c r="F213" s="180" t="s">
        <v>103</v>
      </c>
      <c r="G213" s="176" t="s">
        <v>1359</v>
      </c>
      <c r="H213" s="176">
        <v>13</v>
      </c>
      <c r="I213" s="176" t="s">
        <v>956</v>
      </c>
      <c r="J213" s="176" t="s">
        <v>72</v>
      </c>
      <c r="K213" s="176" t="s">
        <v>1355</v>
      </c>
      <c r="L213" s="176"/>
      <c r="M213" s="176" t="s">
        <v>1354</v>
      </c>
      <c r="N213" s="430" t="s">
        <v>1356</v>
      </c>
      <c r="O213" s="203" t="s">
        <v>1357</v>
      </c>
      <c r="P213" s="176" t="s">
        <v>84</v>
      </c>
      <c r="Q213" s="204"/>
    </row>
    <row r="214" spans="2:17" ht="20.100000000000001" customHeight="1">
      <c r="B214" s="197" t="s">
        <v>27</v>
      </c>
      <c r="C214" s="190">
        <v>45873</v>
      </c>
      <c r="D214" s="190">
        <v>45873</v>
      </c>
      <c r="E214" s="191"/>
      <c r="F214" s="198" t="s">
        <v>103</v>
      </c>
      <c r="G214" s="193" t="s">
        <v>1360</v>
      </c>
      <c r="H214" s="193">
        <v>30</v>
      </c>
      <c r="I214" s="193" t="s">
        <v>1147</v>
      </c>
      <c r="J214" s="193" t="s">
        <v>78</v>
      </c>
      <c r="K214" s="193" t="s">
        <v>1361</v>
      </c>
      <c r="L214" s="193"/>
      <c r="M214" s="193" t="s">
        <v>1362</v>
      </c>
      <c r="N214" s="426" t="s">
        <v>1363</v>
      </c>
      <c r="O214" s="199" t="s">
        <v>1364</v>
      </c>
      <c r="P214" s="193" t="s">
        <v>84</v>
      </c>
      <c r="Q214" s="196"/>
    </row>
    <row r="215" spans="2:17" ht="20.100000000000001" customHeight="1">
      <c r="B215" s="197" t="s">
        <v>27</v>
      </c>
      <c r="C215" s="190">
        <v>45873</v>
      </c>
      <c r="D215" s="190">
        <v>45874</v>
      </c>
      <c r="E215" s="191"/>
      <c r="F215" s="198" t="s">
        <v>103</v>
      </c>
      <c r="G215" s="193" t="s">
        <v>1365</v>
      </c>
      <c r="H215" s="193">
        <v>60</v>
      </c>
      <c r="I215" s="193" t="s">
        <v>1366</v>
      </c>
      <c r="J215" s="193" t="s">
        <v>72</v>
      </c>
      <c r="K215" s="193" t="s">
        <v>1367</v>
      </c>
      <c r="L215" s="193"/>
      <c r="M215" s="193" t="s">
        <v>1368</v>
      </c>
      <c r="N215" s="426" t="s">
        <v>1369</v>
      </c>
      <c r="O215" s="199" t="s">
        <v>1370</v>
      </c>
      <c r="P215" s="193" t="s">
        <v>84</v>
      </c>
      <c r="Q215" s="196"/>
    </row>
    <row r="216" spans="2:17" ht="20.100000000000001" customHeight="1">
      <c r="B216" s="197" t="s">
        <v>27</v>
      </c>
      <c r="C216" s="190">
        <v>45873</v>
      </c>
      <c r="D216" s="190">
        <v>45874</v>
      </c>
      <c r="E216" s="191"/>
      <c r="F216" s="198" t="s">
        <v>103</v>
      </c>
      <c r="G216" s="193" t="s">
        <v>1371</v>
      </c>
      <c r="H216" s="193">
        <v>30</v>
      </c>
      <c r="I216" s="193" t="s">
        <v>171</v>
      </c>
      <c r="J216" s="193" t="s">
        <v>72</v>
      </c>
      <c r="K216" s="193" t="s">
        <v>267</v>
      </c>
      <c r="L216" s="193"/>
      <c r="M216" s="193" t="s">
        <v>1372</v>
      </c>
      <c r="N216" s="426" t="s">
        <v>1373</v>
      </c>
      <c r="O216" s="199" t="s">
        <v>1374</v>
      </c>
      <c r="P216" s="193" t="s">
        <v>84</v>
      </c>
      <c r="Q216" s="196"/>
    </row>
    <row r="217" spans="2:17" ht="20.100000000000001" customHeight="1">
      <c r="B217" s="197" t="s">
        <v>27</v>
      </c>
      <c r="C217" s="190">
        <v>45874</v>
      </c>
      <c r="D217" s="190">
        <v>45875</v>
      </c>
      <c r="E217" s="191"/>
      <c r="F217" s="198" t="s">
        <v>103</v>
      </c>
      <c r="G217" s="193" t="s">
        <v>1375</v>
      </c>
      <c r="H217" s="193">
        <v>130</v>
      </c>
      <c r="I217" s="193" t="s">
        <v>114</v>
      </c>
      <c r="J217" s="193" t="s">
        <v>72</v>
      </c>
      <c r="K217" s="193" t="s">
        <v>1376</v>
      </c>
      <c r="L217" s="193"/>
      <c r="M217" s="193" t="s">
        <v>1377</v>
      </c>
      <c r="N217" s="426" t="s">
        <v>1378</v>
      </c>
      <c r="O217" s="199" t="s">
        <v>1379</v>
      </c>
      <c r="P217" s="193" t="s">
        <v>84</v>
      </c>
      <c r="Q217" s="196"/>
    </row>
    <row r="218" spans="2:17" ht="20.100000000000001" customHeight="1">
      <c r="B218" s="197" t="s">
        <v>27</v>
      </c>
      <c r="C218" s="190">
        <v>45874</v>
      </c>
      <c r="D218" s="190">
        <v>45875</v>
      </c>
      <c r="E218" s="191"/>
      <c r="F218" s="198" t="s">
        <v>103</v>
      </c>
      <c r="G218" s="193" t="s">
        <v>1380</v>
      </c>
      <c r="H218" s="193">
        <v>100</v>
      </c>
      <c r="I218" s="193" t="s">
        <v>867</v>
      </c>
      <c r="J218" s="193" t="s">
        <v>72</v>
      </c>
      <c r="K218" s="193" t="s">
        <v>1390</v>
      </c>
      <c r="L218" s="193"/>
      <c r="M218" s="193" t="s">
        <v>1381</v>
      </c>
      <c r="N218" s="426" t="s">
        <v>1382</v>
      </c>
      <c r="O218" s="199" t="s">
        <v>1383</v>
      </c>
      <c r="P218" s="193" t="s">
        <v>84</v>
      </c>
      <c r="Q218" s="196"/>
    </row>
    <row r="219" spans="2:17" ht="20.100000000000001" customHeight="1">
      <c r="B219" s="161" t="s">
        <v>27</v>
      </c>
      <c r="C219" s="143">
        <v>45875</v>
      </c>
      <c r="D219" s="143">
        <v>45875</v>
      </c>
      <c r="E219" s="151"/>
      <c r="F219" s="162" t="s">
        <v>106</v>
      </c>
      <c r="G219" s="145" t="s">
        <v>1384</v>
      </c>
      <c r="H219" s="145">
        <v>350</v>
      </c>
      <c r="I219" s="145" t="s">
        <v>330</v>
      </c>
      <c r="J219" s="145" t="s">
        <v>72</v>
      </c>
      <c r="K219" s="145" t="s">
        <v>1385</v>
      </c>
      <c r="L219" s="145"/>
      <c r="M219" s="145" t="s">
        <v>1386</v>
      </c>
      <c r="N219" s="419" t="s">
        <v>1387</v>
      </c>
      <c r="O219" s="155" t="s">
        <v>1388</v>
      </c>
      <c r="P219" s="145" t="s">
        <v>84</v>
      </c>
      <c r="Q219" s="152"/>
    </row>
    <row r="220" spans="2:17" ht="20.100000000000001" customHeight="1">
      <c r="B220" s="249" t="s">
        <v>27</v>
      </c>
      <c r="C220" s="250">
        <v>45875</v>
      </c>
      <c r="D220" s="250">
        <v>45875</v>
      </c>
      <c r="E220" s="251"/>
      <c r="F220" s="252" t="s">
        <v>237</v>
      </c>
      <c r="G220" s="253" t="s">
        <v>1389</v>
      </c>
      <c r="H220" s="253">
        <v>250</v>
      </c>
      <c r="I220" s="253" t="s">
        <v>1391</v>
      </c>
      <c r="J220" s="253" t="s">
        <v>72</v>
      </c>
      <c r="K220" s="253" t="s">
        <v>1392</v>
      </c>
      <c r="L220" s="253"/>
      <c r="M220" s="253" t="s">
        <v>1393</v>
      </c>
      <c r="N220" s="431" t="s">
        <v>1394</v>
      </c>
      <c r="O220" s="254" t="s">
        <v>1395</v>
      </c>
      <c r="P220" s="253" t="s">
        <v>84</v>
      </c>
      <c r="Q220" s="255" t="s">
        <v>1607</v>
      </c>
    </row>
    <row r="221" spans="2:17" ht="20.100000000000001" customHeight="1">
      <c r="B221" s="161" t="s">
        <v>27</v>
      </c>
      <c r="C221" s="143">
        <v>45875</v>
      </c>
      <c r="D221" s="143">
        <v>45876</v>
      </c>
      <c r="E221" s="151"/>
      <c r="F221" s="162" t="s">
        <v>106</v>
      </c>
      <c r="G221" s="145" t="s">
        <v>1396</v>
      </c>
      <c r="H221" s="145">
        <v>10</v>
      </c>
      <c r="I221" s="145" t="s">
        <v>289</v>
      </c>
      <c r="J221" s="145" t="s">
        <v>72</v>
      </c>
      <c r="K221" s="145" t="s">
        <v>1397</v>
      </c>
      <c r="L221" s="145"/>
      <c r="M221" s="145" t="s">
        <v>1398</v>
      </c>
      <c r="N221" s="419" t="s">
        <v>1399</v>
      </c>
      <c r="O221" s="155" t="s">
        <v>1400</v>
      </c>
      <c r="P221" s="145" t="s">
        <v>84</v>
      </c>
      <c r="Q221" s="152"/>
    </row>
    <row r="222" spans="2:17" ht="20.100000000000001" customHeight="1">
      <c r="B222" s="161" t="s">
        <v>27</v>
      </c>
      <c r="C222" s="143">
        <v>45876</v>
      </c>
      <c r="D222" s="143">
        <v>45877</v>
      </c>
      <c r="E222" s="151"/>
      <c r="F222" s="162" t="s">
        <v>106</v>
      </c>
      <c r="G222" s="145" t="s">
        <v>110</v>
      </c>
      <c r="H222" s="145">
        <v>150</v>
      </c>
      <c r="I222" s="145" t="s">
        <v>1401</v>
      </c>
      <c r="J222" s="145" t="s">
        <v>105</v>
      </c>
      <c r="K222" s="145" t="s">
        <v>1402</v>
      </c>
      <c r="L222" s="145"/>
      <c r="M222" s="145" t="s">
        <v>1403</v>
      </c>
      <c r="N222" s="419" t="s">
        <v>1404</v>
      </c>
      <c r="O222" s="155" t="s">
        <v>1405</v>
      </c>
      <c r="P222" s="145" t="s">
        <v>84</v>
      </c>
      <c r="Q222" s="152"/>
    </row>
    <row r="223" spans="2:17" ht="20.100000000000001" customHeight="1">
      <c r="B223" s="197" t="s">
        <v>27</v>
      </c>
      <c r="C223" s="190">
        <v>45880</v>
      </c>
      <c r="D223" s="190">
        <v>45912</v>
      </c>
      <c r="E223" s="191"/>
      <c r="F223" s="198" t="s">
        <v>103</v>
      </c>
      <c r="G223" s="193" t="s">
        <v>1409</v>
      </c>
      <c r="H223" s="193">
        <v>60</v>
      </c>
      <c r="I223" s="193" t="s">
        <v>1074</v>
      </c>
      <c r="J223" s="193" t="s">
        <v>72</v>
      </c>
      <c r="K223" s="193" t="s">
        <v>267</v>
      </c>
      <c r="L223" s="193"/>
      <c r="M223" s="193" t="s">
        <v>1413</v>
      </c>
      <c r="N223" s="426" t="s">
        <v>1414</v>
      </c>
      <c r="O223" s="199" t="s">
        <v>1415</v>
      </c>
      <c r="P223" s="193" t="s">
        <v>84</v>
      </c>
      <c r="Q223" s="196"/>
    </row>
    <row r="224" spans="2:17" ht="20.100000000000001" customHeight="1">
      <c r="B224" s="197" t="s">
        <v>27</v>
      </c>
      <c r="C224" s="190">
        <v>45881</v>
      </c>
      <c r="D224" s="190">
        <v>45881</v>
      </c>
      <c r="E224" s="191"/>
      <c r="F224" s="198" t="s">
        <v>103</v>
      </c>
      <c r="G224" s="193" t="s">
        <v>1416</v>
      </c>
      <c r="H224" s="193">
        <v>50</v>
      </c>
      <c r="I224" s="193" t="s">
        <v>114</v>
      </c>
      <c r="J224" s="193" t="s">
        <v>78</v>
      </c>
      <c r="K224" s="193" t="s">
        <v>1436</v>
      </c>
      <c r="L224" s="193"/>
      <c r="M224" s="193" t="s">
        <v>1417</v>
      </c>
      <c r="N224" s="426" t="s">
        <v>1418</v>
      </c>
      <c r="O224" s="199" t="s">
        <v>1419</v>
      </c>
      <c r="P224" s="193" t="s">
        <v>84</v>
      </c>
      <c r="Q224" s="196"/>
    </row>
    <row r="225" spans="2:17" ht="20.100000000000001" customHeight="1">
      <c r="B225" s="197" t="s">
        <v>27</v>
      </c>
      <c r="C225" s="190">
        <v>45881</v>
      </c>
      <c r="D225" s="190">
        <v>45881</v>
      </c>
      <c r="E225" s="191"/>
      <c r="F225" s="198" t="s">
        <v>103</v>
      </c>
      <c r="G225" s="193" t="s">
        <v>1420</v>
      </c>
      <c r="H225" s="193">
        <v>30</v>
      </c>
      <c r="I225" s="193" t="s">
        <v>1421</v>
      </c>
      <c r="J225" s="193" t="s">
        <v>78</v>
      </c>
      <c r="K225" s="193" t="s">
        <v>267</v>
      </c>
      <c r="L225" s="193"/>
      <c r="M225" s="193" t="s">
        <v>1422</v>
      </c>
      <c r="N225" s="426" t="s">
        <v>1423</v>
      </c>
      <c r="O225" s="199" t="s">
        <v>1543</v>
      </c>
      <c r="P225" s="193" t="s">
        <v>84</v>
      </c>
      <c r="Q225" s="196"/>
    </row>
    <row r="226" spans="2:17" ht="20.100000000000001" customHeight="1">
      <c r="B226" s="200" t="s">
        <v>27</v>
      </c>
      <c r="C226" s="201">
        <v>45881</v>
      </c>
      <c r="D226" s="201">
        <v>45881</v>
      </c>
      <c r="E226" s="202"/>
      <c r="F226" s="180" t="s">
        <v>103</v>
      </c>
      <c r="G226" s="176" t="s">
        <v>1424</v>
      </c>
      <c r="H226" s="176">
        <v>10</v>
      </c>
      <c r="I226" s="176" t="s">
        <v>369</v>
      </c>
      <c r="J226" s="176" t="s">
        <v>78</v>
      </c>
      <c r="K226" s="176" t="s">
        <v>267</v>
      </c>
      <c r="L226" s="176"/>
      <c r="M226" s="176" t="s">
        <v>1425</v>
      </c>
      <c r="N226" s="430" t="s">
        <v>1426</v>
      </c>
      <c r="O226" s="203" t="s">
        <v>1544</v>
      </c>
      <c r="P226" s="176" t="s">
        <v>84</v>
      </c>
      <c r="Q226" s="204"/>
    </row>
    <row r="227" spans="2:17" ht="20.100000000000001" customHeight="1">
      <c r="B227" s="200" t="s">
        <v>27</v>
      </c>
      <c r="C227" s="201">
        <v>45882</v>
      </c>
      <c r="D227" s="201">
        <v>45887</v>
      </c>
      <c r="E227" s="202"/>
      <c r="F227" s="180" t="s">
        <v>103</v>
      </c>
      <c r="G227" s="176" t="s">
        <v>1427</v>
      </c>
      <c r="H227" s="176">
        <v>16</v>
      </c>
      <c r="I227" s="176" t="s">
        <v>700</v>
      </c>
      <c r="J227" s="176" t="s">
        <v>78</v>
      </c>
      <c r="K227" s="176" t="s">
        <v>267</v>
      </c>
      <c r="L227" s="176"/>
      <c r="M227" s="176" t="s">
        <v>1428</v>
      </c>
      <c r="N227" s="430" t="s">
        <v>1429</v>
      </c>
      <c r="O227" s="203" t="s">
        <v>1430</v>
      </c>
      <c r="P227" s="176" t="s">
        <v>84</v>
      </c>
      <c r="Q227" s="204"/>
    </row>
    <row r="228" spans="2:17" ht="20.100000000000001" customHeight="1">
      <c r="B228" s="200" t="s">
        <v>27</v>
      </c>
      <c r="C228" s="201">
        <v>45883</v>
      </c>
      <c r="D228" s="201">
        <v>45887</v>
      </c>
      <c r="E228" s="202"/>
      <c r="F228" s="180" t="s">
        <v>103</v>
      </c>
      <c r="G228" s="176" t="s">
        <v>1431</v>
      </c>
      <c r="H228" s="176">
        <v>24</v>
      </c>
      <c r="I228" s="176" t="s">
        <v>1432</v>
      </c>
      <c r="J228" s="176" t="s">
        <v>78</v>
      </c>
      <c r="K228" s="176" t="s">
        <v>267</v>
      </c>
      <c r="L228" s="176"/>
      <c r="M228" s="176" t="s">
        <v>1433</v>
      </c>
      <c r="N228" s="430" t="s">
        <v>1435</v>
      </c>
      <c r="O228" s="203" t="s">
        <v>1434</v>
      </c>
      <c r="P228" s="176" t="s">
        <v>84</v>
      </c>
      <c r="Q228" s="204"/>
    </row>
    <row r="229" spans="2:17" ht="20.100000000000001" customHeight="1">
      <c r="B229" s="178" t="s">
        <v>27</v>
      </c>
      <c r="C229" s="134">
        <v>45883</v>
      </c>
      <c r="D229" s="134">
        <v>45883</v>
      </c>
      <c r="E229" s="177"/>
      <c r="F229" s="179" t="s">
        <v>37</v>
      </c>
      <c r="G229" s="126" t="s">
        <v>1242</v>
      </c>
      <c r="H229" s="126">
        <v>3500</v>
      </c>
      <c r="I229" s="126" t="s">
        <v>1175</v>
      </c>
      <c r="J229" s="126" t="s">
        <v>78</v>
      </c>
      <c r="K229" s="126" t="s">
        <v>1493</v>
      </c>
      <c r="L229" s="126"/>
      <c r="M229" s="126" t="s">
        <v>1494</v>
      </c>
      <c r="N229" s="427" t="s">
        <v>1495</v>
      </c>
      <c r="O229" s="175" t="s">
        <v>1496</v>
      </c>
      <c r="P229" s="126" t="s">
        <v>84</v>
      </c>
      <c r="Q229" s="172" t="s">
        <v>2135</v>
      </c>
    </row>
    <row r="230" spans="2:17" ht="20.100000000000001" customHeight="1">
      <c r="B230" s="51" t="s">
        <v>27</v>
      </c>
      <c r="C230" s="32">
        <v>45888</v>
      </c>
      <c r="D230" s="32">
        <v>45889</v>
      </c>
      <c r="E230" s="27"/>
      <c r="F230" s="98" t="s">
        <v>103</v>
      </c>
      <c r="G230" s="34" t="s">
        <v>1437</v>
      </c>
      <c r="H230" s="34">
        <v>3</v>
      </c>
      <c r="I230" s="34" t="s">
        <v>34</v>
      </c>
      <c r="J230" s="34" t="s">
        <v>78</v>
      </c>
      <c r="K230" s="34" t="s">
        <v>1438</v>
      </c>
      <c r="L230" s="34"/>
      <c r="M230" s="34" t="s">
        <v>1439</v>
      </c>
      <c r="N230" s="422" t="s">
        <v>1440</v>
      </c>
      <c r="O230" s="30" t="s">
        <v>1545</v>
      </c>
      <c r="P230" s="34" t="s">
        <v>84</v>
      </c>
      <c r="Q230" s="35"/>
    </row>
    <row r="231" spans="2:17" ht="20.100000000000001" customHeight="1">
      <c r="B231" s="161" t="s">
        <v>27</v>
      </c>
      <c r="C231" s="143">
        <v>45889</v>
      </c>
      <c r="D231" s="143">
        <v>45891</v>
      </c>
      <c r="E231" s="151"/>
      <c r="F231" s="162" t="s">
        <v>106</v>
      </c>
      <c r="G231" s="145" t="s">
        <v>1412</v>
      </c>
      <c r="H231" s="145">
        <v>4</v>
      </c>
      <c r="I231" s="145" t="s">
        <v>747</v>
      </c>
      <c r="J231" s="145" t="s">
        <v>78</v>
      </c>
      <c r="K231" s="145" t="s">
        <v>1441</v>
      </c>
      <c r="L231" s="145"/>
      <c r="M231" s="145" t="s">
        <v>1442</v>
      </c>
      <c r="N231" s="419" t="s">
        <v>1443</v>
      </c>
      <c r="O231" s="155" t="s">
        <v>1444</v>
      </c>
      <c r="P231" s="145" t="s">
        <v>84</v>
      </c>
      <c r="Q231" s="152"/>
    </row>
    <row r="232" spans="2:17" ht="20.100000000000001" customHeight="1">
      <c r="B232" s="197" t="s">
        <v>27</v>
      </c>
      <c r="C232" s="190">
        <v>45890</v>
      </c>
      <c r="D232" s="190">
        <v>45891</v>
      </c>
      <c r="E232" s="191"/>
      <c r="F232" s="198" t="s">
        <v>103</v>
      </c>
      <c r="G232" s="193" t="s">
        <v>1445</v>
      </c>
      <c r="H232" s="193">
        <v>75</v>
      </c>
      <c r="I232" s="193" t="s">
        <v>850</v>
      </c>
      <c r="J232" s="193" t="s">
        <v>78</v>
      </c>
      <c r="K232" s="193" t="s">
        <v>267</v>
      </c>
      <c r="L232" s="193"/>
      <c r="M232" s="193" t="s">
        <v>1446</v>
      </c>
      <c r="N232" s="426" t="s">
        <v>1447</v>
      </c>
      <c r="O232" s="199" t="s">
        <v>1448</v>
      </c>
      <c r="P232" s="193" t="s">
        <v>84</v>
      </c>
      <c r="Q232" s="196"/>
    </row>
    <row r="233" spans="2:17" ht="20.100000000000001" customHeight="1">
      <c r="B233" s="161" t="s">
        <v>27</v>
      </c>
      <c r="C233" s="143">
        <v>45890</v>
      </c>
      <c r="D233" s="143">
        <v>45894</v>
      </c>
      <c r="E233" s="151"/>
      <c r="F233" s="162" t="s">
        <v>106</v>
      </c>
      <c r="G233" s="145" t="s">
        <v>1408</v>
      </c>
      <c r="H233" s="145">
        <v>1</v>
      </c>
      <c r="I233" s="145" t="s">
        <v>114</v>
      </c>
      <c r="J233" s="145" t="s">
        <v>78</v>
      </c>
      <c r="K233" s="145" t="s">
        <v>1449</v>
      </c>
      <c r="L233" s="145"/>
      <c r="M233" s="145" t="s">
        <v>1450</v>
      </c>
      <c r="N233" s="419" t="s">
        <v>1451</v>
      </c>
      <c r="O233" s="155" t="s">
        <v>1546</v>
      </c>
      <c r="P233" s="145" t="s">
        <v>84</v>
      </c>
      <c r="Q233" s="152"/>
    </row>
    <row r="234" spans="2:17" ht="20.100000000000001" customHeight="1">
      <c r="B234" s="197" t="s">
        <v>27</v>
      </c>
      <c r="C234" s="190">
        <v>45894</v>
      </c>
      <c r="D234" s="190">
        <v>45895</v>
      </c>
      <c r="E234" s="191"/>
      <c r="F234" s="198" t="s">
        <v>103</v>
      </c>
      <c r="G234" s="193" t="s">
        <v>1452</v>
      </c>
      <c r="H234" s="193">
        <v>35</v>
      </c>
      <c r="I234" s="193" t="s">
        <v>114</v>
      </c>
      <c r="J234" s="193" t="s">
        <v>78</v>
      </c>
      <c r="K234" s="193" t="s">
        <v>1453</v>
      </c>
      <c r="L234" s="193"/>
      <c r="M234" s="193" t="s">
        <v>1454</v>
      </c>
      <c r="N234" s="426" t="s">
        <v>1455</v>
      </c>
      <c r="O234" s="199" t="s">
        <v>1456</v>
      </c>
      <c r="P234" s="193" t="s">
        <v>84</v>
      </c>
      <c r="Q234" s="196"/>
    </row>
    <row r="235" spans="2:17" ht="20.100000000000001" customHeight="1">
      <c r="B235" s="197" t="s">
        <v>27</v>
      </c>
      <c r="C235" s="190">
        <v>45894</v>
      </c>
      <c r="D235" s="190">
        <v>45895</v>
      </c>
      <c r="E235" s="191"/>
      <c r="F235" s="198" t="s">
        <v>103</v>
      </c>
      <c r="G235" s="193" t="s">
        <v>1457</v>
      </c>
      <c r="H235" s="193">
        <v>30</v>
      </c>
      <c r="I235" s="193" t="s">
        <v>114</v>
      </c>
      <c r="J235" s="193" t="s">
        <v>72</v>
      </c>
      <c r="K235" s="193" t="s">
        <v>267</v>
      </c>
      <c r="L235" s="193"/>
      <c r="M235" s="193" t="s">
        <v>1458</v>
      </c>
      <c r="N235" s="426" t="s">
        <v>1459</v>
      </c>
      <c r="O235" s="199" t="s">
        <v>1460</v>
      </c>
      <c r="P235" s="193" t="s">
        <v>84</v>
      </c>
      <c r="Q235" s="196"/>
    </row>
    <row r="236" spans="2:17" ht="20.100000000000001" customHeight="1">
      <c r="B236" s="197" t="s">
        <v>27</v>
      </c>
      <c r="C236" s="190">
        <v>45897</v>
      </c>
      <c r="D236" s="190">
        <v>45897</v>
      </c>
      <c r="E236" s="191"/>
      <c r="F236" s="198" t="s">
        <v>103</v>
      </c>
      <c r="G236" s="193" t="s">
        <v>1461</v>
      </c>
      <c r="H236" s="193">
        <v>30</v>
      </c>
      <c r="I236" s="193" t="s">
        <v>1340</v>
      </c>
      <c r="J236" s="193" t="s">
        <v>72</v>
      </c>
      <c r="K236" s="193" t="s">
        <v>267</v>
      </c>
      <c r="L236" s="193"/>
      <c r="M236" s="193" t="s">
        <v>1462</v>
      </c>
      <c r="N236" s="426" t="s">
        <v>1463</v>
      </c>
      <c r="O236" s="199" t="s">
        <v>1464</v>
      </c>
      <c r="P236" s="193" t="s">
        <v>84</v>
      </c>
      <c r="Q236" s="196"/>
    </row>
    <row r="237" spans="2:17" ht="20.100000000000001" customHeight="1">
      <c r="B237" s="197" t="s">
        <v>27</v>
      </c>
      <c r="C237" s="190">
        <v>45897</v>
      </c>
      <c r="D237" s="190">
        <v>45897</v>
      </c>
      <c r="E237" s="191"/>
      <c r="F237" s="198" t="s">
        <v>103</v>
      </c>
      <c r="G237" s="193" t="s">
        <v>1465</v>
      </c>
      <c r="H237" s="193">
        <v>500</v>
      </c>
      <c r="I237" s="193" t="s">
        <v>114</v>
      </c>
      <c r="J237" s="193" t="s">
        <v>72</v>
      </c>
      <c r="K237" s="193" t="s">
        <v>267</v>
      </c>
      <c r="L237" s="193"/>
      <c r="M237" s="193" t="s">
        <v>1466</v>
      </c>
      <c r="N237" s="426" t="s">
        <v>1467</v>
      </c>
      <c r="O237" s="199" t="s">
        <v>1468</v>
      </c>
      <c r="P237" s="193" t="s">
        <v>84</v>
      </c>
      <c r="Q237" s="196"/>
    </row>
    <row r="238" spans="2:17" ht="20.100000000000001" customHeight="1">
      <c r="B238" s="51" t="s">
        <v>27</v>
      </c>
      <c r="C238" s="32">
        <v>45897</v>
      </c>
      <c r="D238" s="32">
        <v>45897</v>
      </c>
      <c r="E238" s="27"/>
      <c r="F238" s="98" t="s">
        <v>103</v>
      </c>
      <c r="G238" s="34" t="s">
        <v>1469</v>
      </c>
      <c r="H238" s="34">
        <v>10</v>
      </c>
      <c r="I238" s="34" t="s">
        <v>586</v>
      </c>
      <c r="J238" s="34" t="s">
        <v>78</v>
      </c>
      <c r="K238" s="34" t="s">
        <v>267</v>
      </c>
      <c r="L238" s="34"/>
      <c r="M238" s="34" t="s">
        <v>1470</v>
      </c>
      <c r="N238" s="422" t="s">
        <v>1471</v>
      </c>
      <c r="O238" s="30" t="s">
        <v>1472</v>
      </c>
      <c r="P238" s="34" t="s">
        <v>84</v>
      </c>
      <c r="Q238" s="35"/>
    </row>
    <row r="239" spans="2:17" ht="19.5" customHeight="1">
      <c r="B239" s="197" t="s">
        <v>27</v>
      </c>
      <c r="C239" s="190">
        <v>45897</v>
      </c>
      <c r="D239" s="190">
        <v>45897</v>
      </c>
      <c r="E239" s="191"/>
      <c r="F239" s="198" t="s">
        <v>103</v>
      </c>
      <c r="G239" s="193" t="s">
        <v>1473</v>
      </c>
      <c r="H239" s="193">
        <v>500</v>
      </c>
      <c r="I239" s="193" t="s">
        <v>1474</v>
      </c>
      <c r="J239" s="193" t="s">
        <v>72</v>
      </c>
      <c r="K239" s="193" t="s">
        <v>1475</v>
      </c>
      <c r="L239" s="193"/>
      <c r="M239" s="193" t="s">
        <v>1476</v>
      </c>
      <c r="N239" s="426" t="s">
        <v>1477</v>
      </c>
      <c r="O239" s="199" t="s">
        <v>1478</v>
      </c>
      <c r="P239" s="193" t="s">
        <v>84</v>
      </c>
      <c r="Q239" s="196"/>
    </row>
    <row r="240" spans="2:17" ht="19.5" customHeight="1">
      <c r="B240" s="197" t="s">
        <v>27</v>
      </c>
      <c r="C240" s="190">
        <v>45897</v>
      </c>
      <c r="D240" s="190">
        <v>45898</v>
      </c>
      <c r="E240" s="191"/>
      <c r="F240" s="198" t="s">
        <v>103</v>
      </c>
      <c r="G240" s="193" t="s">
        <v>1479</v>
      </c>
      <c r="H240" s="193">
        <v>30</v>
      </c>
      <c r="I240" s="193" t="s">
        <v>34</v>
      </c>
      <c r="J240" s="193" t="s">
        <v>78</v>
      </c>
      <c r="K240" s="193" t="s">
        <v>1480</v>
      </c>
      <c r="L240" s="193"/>
      <c r="M240" s="193" t="s">
        <v>1481</v>
      </c>
      <c r="N240" s="426" t="s">
        <v>1482</v>
      </c>
      <c r="O240" s="199" t="s">
        <v>1483</v>
      </c>
      <c r="P240" s="193" t="s">
        <v>84</v>
      </c>
      <c r="Q240" s="196"/>
    </row>
    <row r="241" spans="2:17" ht="19.5" customHeight="1">
      <c r="B241" s="51" t="s">
        <v>27</v>
      </c>
      <c r="C241" s="32">
        <v>45897</v>
      </c>
      <c r="D241" s="32">
        <v>45898</v>
      </c>
      <c r="E241" s="27"/>
      <c r="F241" s="98" t="s">
        <v>103</v>
      </c>
      <c r="G241" s="34" t="s">
        <v>1484</v>
      </c>
      <c r="H241" s="34">
        <v>5</v>
      </c>
      <c r="I241" s="34" t="s">
        <v>1340</v>
      </c>
      <c r="J241" s="34" t="s">
        <v>72</v>
      </c>
      <c r="K241" s="34" t="s">
        <v>267</v>
      </c>
      <c r="L241" s="34"/>
      <c r="M241" s="34" t="s">
        <v>1485</v>
      </c>
      <c r="N241" s="422" t="s">
        <v>1486</v>
      </c>
      <c r="O241" s="30" t="s">
        <v>1487</v>
      </c>
      <c r="P241" s="34" t="s">
        <v>84</v>
      </c>
      <c r="Q241" s="35"/>
    </row>
    <row r="242" spans="2:17" ht="19.5" customHeight="1">
      <c r="B242" s="51" t="s">
        <v>27</v>
      </c>
      <c r="C242" s="32">
        <v>45897</v>
      </c>
      <c r="D242" s="32">
        <v>45898</v>
      </c>
      <c r="E242" s="27"/>
      <c r="F242" s="98" t="s">
        <v>103</v>
      </c>
      <c r="G242" s="34" t="s">
        <v>1488</v>
      </c>
      <c r="H242" s="34">
        <v>8</v>
      </c>
      <c r="I242" s="34" t="s">
        <v>1489</v>
      </c>
      <c r="J242" s="34" t="s">
        <v>72</v>
      </c>
      <c r="K242" s="34" t="s">
        <v>267</v>
      </c>
      <c r="L242" s="34"/>
      <c r="M242" s="34" t="s">
        <v>1490</v>
      </c>
      <c r="N242" s="422" t="s">
        <v>1491</v>
      </c>
      <c r="O242" s="30" t="s">
        <v>1492</v>
      </c>
      <c r="P242" s="34" t="s">
        <v>84</v>
      </c>
      <c r="Q242" s="35"/>
    </row>
    <row r="243" spans="2:17" ht="19.5" customHeight="1">
      <c r="B243" s="161" t="s">
        <v>27</v>
      </c>
      <c r="C243" s="143">
        <v>45897</v>
      </c>
      <c r="D243" s="143">
        <v>45898</v>
      </c>
      <c r="E243" s="151"/>
      <c r="F243" s="162" t="s">
        <v>106</v>
      </c>
      <c r="G243" s="145" t="s">
        <v>1411</v>
      </c>
      <c r="H243" s="145">
        <v>21</v>
      </c>
      <c r="I243" s="145" t="s">
        <v>1340</v>
      </c>
      <c r="J243" s="145" t="s">
        <v>78</v>
      </c>
      <c r="K243" s="145" t="s">
        <v>1497</v>
      </c>
      <c r="L243" s="145"/>
      <c r="M243" s="145" t="s">
        <v>1498</v>
      </c>
      <c r="N243" s="419" t="s">
        <v>1499</v>
      </c>
      <c r="O243" s="155" t="s">
        <v>1500</v>
      </c>
      <c r="P243" s="145" t="s">
        <v>84</v>
      </c>
      <c r="Q243" s="152"/>
    </row>
    <row r="244" spans="2:17" ht="19.5" customHeight="1">
      <c r="B244" s="51" t="s">
        <v>14</v>
      </c>
      <c r="C244" s="32">
        <v>45901</v>
      </c>
      <c r="D244" s="32">
        <v>45904</v>
      </c>
      <c r="E244" s="27"/>
      <c r="F244" s="98" t="s">
        <v>103</v>
      </c>
      <c r="G244" s="34" t="s">
        <v>1501</v>
      </c>
      <c r="H244" s="34">
        <v>15</v>
      </c>
      <c r="I244" s="34" t="s">
        <v>114</v>
      </c>
      <c r="J244" s="34" t="s">
        <v>72</v>
      </c>
      <c r="K244" s="34" t="s">
        <v>267</v>
      </c>
      <c r="L244" s="34"/>
      <c r="M244" s="34" t="s">
        <v>1502</v>
      </c>
      <c r="N244" s="422" t="s">
        <v>1503</v>
      </c>
      <c r="O244" s="30" t="s">
        <v>1504</v>
      </c>
      <c r="P244" s="34" t="s">
        <v>84</v>
      </c>
      <c r="Q244" s="35"/>
    </row>
    <row r="245" spans="2:17" ht="19.5" customHeight="1">
      <c r="B245" s="197" t="s">
        <v>14</v>
      </c>
      <c r="C245" s="190">
        <v>45901</v>
      </c>
      <c r="D245" s="190">
        <v>45905</v>
      </c>
      <c r="E245" s="191"/>
      <c r="F245" s="198" t="s">
        <v>103</v>
      </c>
      <c r="G245" s="193" t="s">
        <v>1505</v>
      </c>
      <c r="H245" s="193">
        <v>80</v>
      </c>
      <c r="I245" s="193" t="s">
        <v>1340</v>
      </c>
      <c r="J245" s="193" t="s">
        <v>72</v>
      </c>
      <c r="K245" s="193" t="s">
        <v>1510</v>
      </c>
      <c r="L245" s="193"/>
      <c r="M245" s="193" t="s">
        <v>1506</v>
      </c>
      <c r="N245" s="426" t="s">
        <v>1507</v>
      </c>
      <c r="O245" s="199" t="s">
        <v>1508</v>
      </c>
      <c r="P245" s="193" t="s">
        <v>84</v>
      </c>
      <c r="Q245" s="196"/>
    </row>
    <row r="246" spans="2:17" ht="19.5" customHeight="1">
      <c r="B246" s="197" t="s">
        <v>14</v>
      </c>
      <c r="C246" s="190">
        <v>45902</v>
      </c>
      <c r="D246" s="190">
        <v>45904</v>
      </c>
      <c r="E246" s="191"/>
      <c r="F246" s="198" t="s">
        <v>103</v>
      </c>
      <c r="G246" s="193" t="s">
        <v>1509</v>
      </c>
      <c r="H246" s="193">
        <v>150</v>
      </c>
      <c r="I246" s="193" t="s">
        <v>34</v>
      </c>
      <c r="J246" s="193" t="s">
        <v>78</v>
      </c>
      <c r="K246" s="193" t="s">
        <v>1511</v>
      </c>
      <c r="L246" s="193"/>
      <c r="M246" s="193" t="s">
        <v>1512</v>
      </c>
      <c r="N246" s="426" t="s">
        <v>1513</v>
      </c>
      <c r="O246" s="199" t="s">
        <v>1514</v>
      </c>
      <c r="P246" s="193" t="s">
        <v>84</v>
      </c>
      <c r="Q246" s="196"/>
    </row>
    <row r="247" spans="2:17" ht="19.5" customHeight="1">
      <c r="B247" s="197" t="s">
        <v>14</v>
      </c>
      <c r="C247" s="190">
        <v>45904</v>
      </c>
      <c r="D247" s="190">
        <v>45908</v>
      </c>
      <c r="E247" s="191"/>
      <c r="F247" s="198" t="s">
        <v>103</v>
      </c>
      <c r="G247" s="193" t="s">
        <v>1515</v>
      </c>
      <c r="H247" s="193">
        <v>60</v>
      </c>
      <c r="I247" s="193" t="s">
        <v>114</v>
      </c>
      <c r="J247" s="193" t="s">
        <v>78</v>
      </c>
      <c r="K247" s="193" t="s">
        <v>267</v>
      </c>
      <c r="L247" s="193"/>
      <c r="M247" s="193" t="s">
        <v>1516</v>
      </c>
      <c r="N247" s="426" t="s">
        <v>1517</v>
      </c>
      <c r="O247" s="199" t="s">
        <v>1518</v>
      </c>
      <c r="P247" s="193" t="s">
        <v>84</v>
      </c>
      <c r="Q247" s="196"/>
    </row>
    <row r="248" spans="2:17" ht="19.5" customHeight="1">
      <c r="B248" s="51" t="s">
        <v>14</v>
      </c>
      <c r="C248" s="32">
        <v>45904</v>
      </c>
      <c r="D248" s="32">
        <v>45908</v>
      </c>
      <c r="E248" s="27"/>
      <c r="F248" s="98" t="s">
        <v>103</v>
      </c>
      <c r="G248" s="34" t="s">
        <v>1519</v>
      </c>
      <c r="H248" s="34">
        <v>20</v>
      </c>
      <c r="I248" s="34" t="s">
        <v>1421</v>
      </c>
      <c r="J248" s="34" t="s">
        <v>78</v>
      </c>
      <c r="K248" s="34" t="s">
        <v>267</v>
      </c>
      <c r="L248" s="34"/>
      <c r="M248" s="34" t="s">
        <v>1520</v>
      </c>
      <c r="N248" s="422" t="s">
        <v>1521</v>
      </c>
      <c r="O248" s="30" t="s">
        <v>1522</v>
      </c>
      <c r="P248" s="34" t="s">
        <v>84</v>
      </c>
      <c r="Q248" s="35"/>
    </row>
    <row r="249" spans="2:17" ht="19.5" customHeight="1">
      <c r="B249" s="178" t="s">
        <v>14</v>
      </c>
      <c r="C249" s="134">
        <v>45905</v>
      </c>
      <c r="D249" s="134">
        <v>45908</v>
      </c>
      <c r="E249" s="177"/>
      <c r="F249" s="179" t="s">
        <v>37</v>
      </c>
      <c r="G249" s="126" t="s">
        <v>1523</v>
      </c>
      <c r="H249" s="126">
        <v>10</v>
      </c>
      <c r="I249" s="126" t="s">
        <v>821</v>
      </c>
      <c r="J249" s="126" t="s">
        <v>78</v>
      </c>
      <c r="K249" s="126" t="s">
        <v>1524</v>
      </c>
      <c r="L249" s="126"/>
      <c r="M249" s="126" t="s">
        <v>1525</v>
      </c>
      <c r="N249" s="427" t="s">
        <v>1526</v>
      </c>
      <c r="O249" s="175"/>
      <c r="P249" s="126" t="s">
        <v>84</v>
      </c>
      <c r="Q249" s="172" t="s">
        <v>1608</v>
      </c>
    </row>
    <row r="250" spans="2:17" ht="19.5" customHeight="1">
      <c r="B250" s="178" t="s">
        <v>14</v>
      </c>
      <c r="C250" s="134">
        <v>45910</v>
      </c>
      <c r="D250" s="134">
        <v>45911</v>
      </c>
      <c r="E250" s="177"/>
      <c r="F250" s="179" t="s">
        <v>37</v>
      </c>
      <c r="G250" s="126" t="s">
        <v>1527</v>
      </c>
      <c r="H250" s="126">
        <v>100</v>
      </c>
      <c r="I250" s="126" t="s">
        <v>1528</v>
      </c>
      <c r="J250" s="126" t="s">
        <v>78</v>
      </c>
      <c r="K250" s="126" t="s">
        <v>1529</v>
      </c>
      <c r="L250" s="126"/>
      <c r="M250" s="126" t="s">
        <v>1530</v>
      </c>
      <c r="N250" s="427" t="s">
        <v>1531</v>
      </c>
      <c r="O250" s="175" t="s">
        <v>1532</v>
      </c>
      <c r="P250" s="126" t="s">
        <v>84</v>
      </c>
      <c r="Q250" s="172" t="s">
        <v>1609</v>
      </c>
    </row>
    <row r="251" spans="2:17" ht="19.5" customHeight="1">
      <c r="B251" s="51" t="s">
        <v>14</v>
      </c>
      <c r="C251" s="32">
        <v>45910</v>
      </c>
      <c r="D251" s="32">
        <v>45911</v>
      </c>
      <c r="E251" s="27"/>
      <c r="F251" s="98" t="s">
        <v>103</v>
      </c>
      <c r="G251" s="34" t="s">
        <v>1533</v>
      </c>
      <c r="H251" s="34">
        <v>30</v>
      </c>
      <c r="I251" s="34" t="s">
        <v>1534</v>
      </c>
      <c r="J251" s="34" t="s">
        <v>72</v>
      </c>
      <c r="K251" s="34" t="s">
        <v>1535</v>
      </c>
      <c r="L251" s="34"/>
      <c r="M251" s="34" t="s">
        <v>361</v>
      </c>
      <c r="N251" s="422" t="s">
        <v>1536</v>
      </c>
      <c r="O251" s="30" t="s">
        <v>1537</v>
      </c>
      <c r="P251" s="34" t="s">
        <v>84</v>
      </c>
      <c r="Q251" s="35"/>
    </row>
    <row r="252" spans="2:17" ht="19.5" customHeight="1">
      <c r="B252" s="51" t="s">
        <v>14</v>
      </c>
      <c r="C252" s="32">
        <v>45910</v>
      </c>
      <c r="D252" s="32">
        <v>45911</v>
      </c>
      <c r="E252" s="27"/>
      <c r="F252" s="98" t="s">
        <v>103</v>
      </c>
      <c r="G252" s="34" t="s">
        <v>1538</v>
      </c>
      <c r="H252" s="34">
        <v>10</v>
      </c>
      <c r="I252" s="34" t="s">
        <v>330</v>
      </c>
      <c r="J252" s="34" t="s">
        <v>72</v>
      </c>
      <c r="K252" s="34" t="s">
        <v>1539</v>
      </c>
      <c r="L252" s="34"/>
      <c r="M252" s="34" t="s">
        <v>1540</v>
      </c>
      <c r="N252" s="422" t="s">
        <v>1541</v>
      </c>
      <c r="O252" s="30" t="s">
        <v>1542</v>
      </c>
      <c r="P252" s="34" t="s">
        <v>84</v>
      </c>
      <c r="Q252" s="35"/>
    </row>
    <row r="253" spans="2:17" ht="19.5" customHeight="1">
      <c r="B253" s="51" t="s">
        <v>14</v>
      </c>
      <c r="C253" s="32">
        <v>45911</v>
      </c>
      <c r="D253" s="32">
        <v>45911</v>
      </c>
      <c r="E253" s="27"/>
      <c r="F253" s="98" t="s">
        <v>103</v>
      </c>
      <c r="G253" s="34" t="s">
        <v>1610</v>
      </c>
      <c r="H253" s="34">
        <v>50</v>
      </c>
      <c r="I253" s="34" t="s">
        <v>1611</v>
      </c>
      <c r="J253" s="34" t="s">
        <v>72</v>
      </c>
      <c r="K253" s="34" t="s">
        <v>1612</v>
      </c>
      <c r="L253" s="34"/>
      <c r="M253" s="34" t="s">
        <v>1613</v>
      </c>
      <c r="N253" s="422" t="s">
        <v>1614</v>
      </c>
      <c r="O253" s="30" t="s">
        <v>1615</v>
      </c>
      <c r="P253" s="34" t="s">
        <v>84</v>
      </c>
      <c r="Q253" s="35"/>
    </row>
    <row r="254" spans="2:17" ht="19.5" customHeight="1">
      <c r="B254" s="161" t="s">
        <v>14</v>
      </c>
      <c r="C254" s="143">
        <v>45912</v>
      </c>
      <c r="D254" s="143">
        <v>45915</v>
      </c>
      <c r="E254" s="151"/>
      <c r="F254" s="162" t="s">
        <v>106</v>
      </c>
      <c r="G254" s="145" t="s">
        <v>1616</v>
      </c>
      <c r="H254" s="145">
        <v>100</v>
      </c>
      <c r="I254" s="145" t="s">
        <v>109</v>
      </c>
      <c r="J254" s="145" t="s">
        <v>78</v>
      </c>
      <c r="K254" s="145" t="s">
        <v>1617</v>
      </c>
      <c r="L254" s="145"/>
      <c r="M254" s="145" t="s">
        <v>1618</v>
      </c>
      <c r="N254" s="419" t="s">
        <v>1619</v>
      </c>
      <c r="O254" s="155" t="s">
        <v>1620</v>
      </c>
      <c r="P254" s="145" t="s">
        <v>84</v>
      </c>
      <c r="Q254" s="152"/>
    </row>
    <row r="255" spans="2:17" ht="19.5" customHeight="1">
      <c r="B255" s="161" t="s">
        <v>14</v>
      </c>
      <c r="C255" s="143">
        <v>45915</v>
      </c>
      <c r="D255" s="143">
        <v>45916</v>
      </c>
      <c r="E255" s="151"/>
      <c r="F255" s="162" t="s">
        <v>106</v>
      </c>
      <c r="G255" s="145" t="s">
        <v>1621</v>
      </c>
      <c r="H255" s="145">
        <v>25</v>
      </c>
      <c r="I255" s="145" t="s">
        <v>1175</v>
      </c>
      <c r="J255" s="145" t="s">
        <v>78</v>
      </c>
      <c r="K255" s="145" t="s">
        <v>1622</v>
      </c>
      <c r="L255" s="145"/>
      <c r="M255" s="145" t="s">
        <v>1623</v>
      </c>
      <c r="N255" s="419" t="s">
        <v>1624</v>
      </c>
      <c r="O255" s="155" t="s">
        <v>1625</v>
      </c>
      <c r="P255" s="145" t="s">
        <v>84</v>
      </c>
      <c r="Q255" s="152"/>
    </row>
    <row r="256" spans="2:17" ht="19.5" customHeight="1">
      <c r="B256" s="51" t="s">
        <v>14</v>
      </c>
      <c r="C256" s="32">
        <v>45915</v>
      </c>
      <c r="D256" s="32">
        <v>45916</v>
      </c>
      <c r="E256" s="27"/>
      <c r="F256" s="98" t="s">
        <v>103</v>
      </c>
      <c r="G256" s="34" t="s">
        <v>1626</v>
      </c>
      <c r="H256" s="34">
        <v>30</v>
      </c>
      <c r="I256" s="34" t="s">
        <v>1175</v>
      </c>
      <c r="J256" s="34" t="s">
        <v>78</v>
      </c>
      <c r="K256" s="34" t="s">
        <v>267</v>
      </c>
      <c r="L256" s="34"/>
      <c r="M256" s="34" t="s">
        <v>1627</v>
      </c>
      <c r="N256" s="422" t="s">
        <v>1628</v>
      </c>
      <c r="O256" s="30" t="s">
        <v>1629</v>
      </c>
      <c r="P256" s="34" t="s">
        <v>84</v>
      </c>
      <c r="Q256" s="35"/>
    </row>
    <row r="257" spans="2:17" ht="19.5" customHeight="1">
      <c r="B257" s="51" t="s">
        <v>14</v>
      </c>
      <c r="C257" s="32">
        <v>45915</v>
      </c>
      <c r="D257" s="32">
        <v>45917</v>
      </c>
      <c r="E257" s="27"/>
      <c r="F257" s="98" t="s">
        <v>103</v>
      </c>
      <c r="G257" s="34" t="s">
        <v>1630</v>
      </c>
      <c r="H257" s="34">
        <v>30</v>
      </c>
      <c r="I257" s="34" t="s">
        <v>1216</v>
      </c>
      <c r="J257" s="34" t="s">
        <v>78</v>
      </c>
      <c r="K257" s="34" t="s">
        <v>267</v>
      </c>
      <c r="L257" s="34"/>
      <c r="M257" s="34" t="s">
        <v>1631</v>
      </c>
      <c r="N257" s="422" t="s">
        <v>1632</v>
      </c>
      <c r="O257" s="30" t="s">
        <v>1633</v>
      </c>
      <c r="P257" s="34" t="s">
        <v>84</v>
      </c>
      <c r="Q257" s="35"/>
    </row>
    <row r="258" spans="2:17" ht="19.5" customHeight="1">
      <c r="B258" s="178" t="s">
        <v>14</v>
      </c>
      <c r="C258" s="134">
        <v>45915</v>
      </c>
      <c r="D258" s="134">
        <v>45918</v>
      </c>
      <c r="E258" s="177"/>
      <c r="F258" s="179" t="s">
        <v>37</v>
      </c>
      <c r="G258" s="126" t="s">
        <v>1634</v>
      </c>
      <c r="H258" s="126">
        <v>9</v>
      </c>
      <c r="I258" s="126" t="s">
        <v>114</v>
      </c>
      <c r="J258" s="126" t="s">
        <v>78</v>
      </c>
      <c r="K258" s="126" t="s">
        <v>267</v>
      </c>
      <c r="L258" s="126"/>
      <c r="M258" s="126" t="s">
        <v>1635</v>
      </c>
      <c r="N258" s="427" t="s">
        <v>1636</v>
      </c>
      <c r="O258" s="126" t="s">
        <v>1637</v>
      </c>
      <c r="P258" s="126" t="s">
        <v>84</v>
      </c>
      <c r="Q258" s="172" t="s">
        <v>1638</v>
      </c>
    </row>
    <row r="259" spans="2:17" ht="19.5" customHeight="1">
      <c r="B259" s="51" t="s">
        <v>14</v>
      </c>
      <c r="C259" s="32">
        <v>45916</v>
      </c>
      <c r="D259" s="32">
        <v>45918</v>
      </c>
      <c r="E259" s="27"/>
      <c r="F259" s="98" t="s">
        <v>103</v>
      </c>
      <c r="G259" s="34" t="s">
        <v>1639</v>
      </c>
      <c r="H259" s="34">
        <v>9</v>
      </c>
      <c r="I259" s="34" t="s">
        <v>177</v>
      </c>
      <c r="J259" s="34" t="s">
        <v>72</v>
      </c>
      <c r="K259" s="34" t="s">
        <v>1640</v>
      </c>
      <c r="L259" s="34"/>
      <c r="M259" s="34" t="s">
        <v>1641</v>
      </c>
      <c r="N259" s="422" t="s">
        <v>1642</v>
      </c>
      <c r="O259" s="30" t="s">
        <v>1643</v>
      </c>
      <c r="P259" s="34" t="s">
        <v>84</v>
      </c>
      <c r="Q259" s="35"/>
    </row>
    <row r="260" spans="2:17" ht="19.5" customHeight="1">
      <c r="B260" s="51" t="s">
        <v>14</v>
      </c>
      <c r="C260" s="32">
        <v>45916</v>
      </c>
      <c r="D260" s="32">
        <v>45918</v>
      </c>
      <c r="E260" s="27"/>
      <c r="F260" s="98" t="s">
        <v>103</v>
      </c>
      <c r="G260" s="34" t="s">
        <v>1644</v>
      </c>
      <c r="H260" s="34">
        <v>8</v>
      </c>
      <c r="I260" s="34" t="s">
        <v>1645</v>
      </c>
      <c r="J260" s="34" t="s">
        <v>78</v>
      </c>
      <c r="K260" s="34" t="s">
        <v>267</v>
      </c>
      <c r="L260" s="34"/>
      <c r="M260" s="34" t="s">
        <v>1646</v>
      </c>
      <c r="N260" s="422" t="s">
        <v>1647</v>
      </c>
      <c r="O260" s="30" t="s">
        <v>1648</v>
      </c>
      <c r="P260" s="34" t="s">
        <v>84</v>
      </c>
      <c r="Q260" s="35"/>
    </row>
    <row r="261" spans="2:17" ht="19.5" customHeight="1">
      <c r="B261" s="161" t="s">
        <v>14</v>
      </c>
      <c r="C261" s="143">
        <v>45918</v>
      </c>
      <c r="D261" s="143">
        <v>45918</v>
      </c>
      <c r="E261" s="151"/>
      <c r="F261" s="162" t="s">
        <v>106</v>
      </c>
      <c r="G261" s="145" t="s">
        <v>1594</v>
      </c>
      <c r="H261" s="145">
        <v>170</v>
      </c>
      <c r="I261" s="145" t="s">
        <v>1649</v>
      </c>
      <c r="J261" s="145" t="s">
        <v>78</v>
      </c>
      <c r="K261" s="145" t="s">
        <v>1650</v>
      </c>
      <c r="L261" s="145"/>
      <c r="M261" s="145" t="s">
        <v>1651</v>
      </c>
      <c r="N261" s="419" t="s">
        <v>1652</v>
      </c>
      <c r="O261" s="155" t="s">
        <v>1653</v>
      </c>
      <c r="P261" s="145" t="s">
        <v>84</v>
      </c>
      <c r="Q261" s="152"/>
    </row>
    <row r="262" spans="2:17" ht="19.5" customHeight="1">
      <c r="B262" s="182" t="s">
        <v>14</v>
      </c>
      <c r="C262" s="183">
        <v>45918</v>
      </c>
      <c r="D262" s="183">
        <v>45918</v>
      </c>
      <c r="E262" s="184"/>
      <c r="F262" s="185" t="s">
        <v>112</v>
      </c>
      <c r="G262" s="186" t="s">
        <v>1654</v>
      </c>
      <c r="H262" s="186">
        <v>10</v>
      </c>
      <c r="I262" s="186" t="s">
        <v>34</v>
      </c>
      <c r="J262" s="186" t="s">
        <v>78</v>
      </c>
      <c r="K262" s="186" t="s">
        <v>1655</v>
      </c>
      <c r="L262" s="186"/>
      <c r="M262" s="186" t="s">
        <v>485</v>
      </c>
      <c r="N262" s="432" t="s">
        <v>1656</v>
      </c>
      <c r="O262" s="186" t="s">
        <v>1657</v>
      </c>
      <c r="P262" s="186" t="s">
        <v>84</v>
      </c>
      <c r="Q262" s="187"/>
    </row>
    <row r="263" spans="2:17" ht="19.5" customHeight="1">
      <c r="B263" s="51" t="s">
        <v>14</v>
      </c>
      <c r="C263" s="32">
        <v>45923</v>
      </c>
      <c r="D263" s="32">
        <v>45924</v>
      </c>
      <c r="E263" s="27"/>
      <c r="F263" s="98" t="s">
        <v>103</v>
      </c>
      <c r="G263" s="34" t="s">
        <v>1658</v>
      </c>
      <c r="H263" s="34">
        <v>110</v>
      </c>
      <c r="I263" s="34" t="s">
        <v>171</v>
      </c>
      <c r="J263" s="34" t="s">
        <v>72</v>
      </c>
      <c r="K263" s="34" t="s">
        <v>1659</v>
      </c>
      <c r="L263" s="34"/>
      <c r="M263" s="34" t="s">
        <v>1660</v>
      </c>
      <c r="N263" s="422" t="s">
        <v>1661</v>
      </c>
      <c r="O263" s="30" t="s">
        <v>1662</v>
      </c>
      <c r="P263" s="34" t="s">
        <v>84</v>
      </c>
      <c r="Q263" s="35"/>
    </row>
    <row r="264" spans="2:17" ht="19.5" customHeight="1">
      <c r="B264" s="51" t="s">
        <v>14</v>
      </c>
      <c r="C264" s="32">
        <v>45923</v>
      </c>
      <c r="D264" s="32">
        <v>45924</v>
      </c>
      <c r="E264" s="27"/>
      <c r="F264" s="98" t="s">
        <v>103</v>
      </c>
      <c r="G264" s="34" t="s">
        <v>1663</v>
      </c>
      <c r="H264" s="34">
        <v>20</v>
      </c>
      <c r="I264" s="34" t="s">
        <v>305</v>
      </c>
      <c r="J264" s="34" t="s">
        <v>78</v>
      </c>
      <c r="K264" s="34" t="s">
        <v>1664</v>
      </c>
      <c r="L264" s="34"/>
      <c r="M264" s="34" t="s">
        <v>1665</v>
      </c>
      <c r="N264" s="422" t="s">
        <v>1666</v>
      </c>
      <c r="O264" s="30" t="s">
        <v>1667</v>
      </c>
      <c r="P264" s="34" t="s">
        <v>84</v>
      </c>
      <c r="Q264" s="35"/>
    </row>
    <row r="265" spans="2:17" ht="19.5" customHeight="1">
      <c r="B265" s="51" t="s">
        <v>14</v>
      </c>
      <c r="C265" s="32">
        <v>45923</v>
      </c>
      <c r="D265" s="32">
        <v>45925</v>
      </c>
      <c r="E265" s="27"/>
      <c r="F265" s="98" t="s">
        <v>103</v>
      </c>
      <c r="G265" s="34" t="s">
        <v>1668</v>
      </c>
      <c r="H265" s="34">
        <v>25</v>
      </c>
      <c r="I265" s="34" t="s">
        <v>707</v>
      </c>
      <c r="J265" s="34" t="s">
        <v>78</v>
      </c>
      <c r="K265" s="34" t="s">
        <v>1669</v>
      </c>
      <c r="L265" s="34"/>
      <c r="M265" s="34" t="s">
        <v>1670</v>
      </c>
      <c r="N265" s="422" t="s">
        <v>1671</v>
      </c>
      <c r="O265" s="30" t="s">
        <v>1672</v>
      </c>
      <c r="P265" s="34" t="s">
        <v>84</v>
      </c>
      <c r="Q265" s="35"/>
    </row>
    <row r="266" spans="2:17" ht="19.5" customHeight="1">
      <c r="B266" s="161" t="s">
        <v>14</v>
      </c>
      <c r="C266" s="143">
        <v>45924</v>
      </c>
      <c r="D266" s="143">
        <v>45924</v>
      </c>
      <c r="E266" s="151"/>
      <c r="F266" s="162" t="s">
        <v>106</v>
      </c>
      <c r="G266" s="145" t="s">
        <v>1673</v>
      </c>
      <c r="H266" s="145">
        <v>500</v>
      </c>
      <c r="I266" s="145" t="s">
        <v>1674</v>
      </c>
      <c r="J266" s="145" t="s">
        <v>78</v>
      </c>
      <c r="K266" s="145" t="s">
        <v>1675</v>
      </c>
      <c r="L266" s="145"/>
      <c r="M266" s="145" t="s">
        <v>1676</v>
      </c>
      <c r="N266" s="419" t="s">
        <v>1677</v>
      </c>
      <c r="O266" s="155" t="s">
        <v>1678</v>
      </c>
      <c r="P266" s="145" t="s">
        <v>84</v>
      </c>
      <c r="Q266" s="152"/>
    </row>
    <row r="267" spans="2:17" ht="19.5" customHeight="1">
      <c r="B267" s="178" t="s">
        <v>14</v>
      </c>
      <c r="C267" s="134">
        <v>45924</v>
      </c>
      <c r="D267" s="134">
        <v>45926</v>
      </c>
      <c r="E267" s="177"/>
      <c r="F267" s="179" t="s">
        <v>37</v>
      </c>
      <c r="G267" s="126" t="s">
        <v>1679</v>
      </c>
      <c r="H267" s="126">
        <v>10</v>
      </c>
      <c r="I267" s="126" t="s">
        <v>114</v>
      </c>
      <c r="J267" s="126" t="s">
        <v>78</v>
      </c>
      <c r="K267" s="126" t="s">
        <v>267</v>
      </c>
      <c r="L267" s="126"/>
      <c r="M267" s="126" t="s">
        <v>1680</v>
      </c>
      <c r="N267" s="427" t="s">
        <v>1681</v>
      </c>
      <c r="O267" s="126" t="s">
        <v>81</v>
      </c>
      <c r="P267" s="126" t="s">
        <v>84</v>
      </c>
      <c r="Q267" s="172" t="s">
        <v>1682</v>
      </c>
    </row>
    <row r="268" spans="2:17" ht="19.5" customHeight="1">
      <c r="B268" s="178" t="s">
        <v>14</v>
      </c>
      <c r="C268" s="134">
        <v>45926</v>
      </c>
      <c r="D268" s="134">
        <v>45929</v>
      </c>
      <c r="E268" s="177"/>
      <c r="F268" s="179" t="s">
        <v>103</v>
      </c>
      <c r="G268" s="126" t="s">
        <v>1683</v>
      </c>
      <c r="H268" s="126">
        <v>450</v>
      </c>
      <c r="I268" s="126" t="s">
        <v>1113</v>
      </c>
      <c r="J268" s="126" t="s">
        <v>72</v>
      </c>
      <c r="K268" s="126" t="s">
        <v>1684</v>
      </c>
      <c r="L268" s="126"/>
      <c r="M268" s="126" t="s">
        <v>1685</v>
      </c>
      <c r="N268" s="427" t="s">
        <v>1686</v>
      </c>
      <c r="O268" s="126" t="s">
        <v>1687</v>
      </c>
      <c r="P268" s="126" t="s">
        <v>84</v>
      </c>
      <c r="Q268" s="172"/>
    </row>
    <row r="269" spans="2:17" ht="19.5" customHeight="1">
      <c r="B269" s="178" t="s">
        <v>14</v>
      </c>
      <c r="C269" s="134">
        <v>45929</v>
      </c>
      <c r="D269" s="134">
        <v>45929</v>
      </c>
      <c r="E269" s="177"/>
      <c r="F269" s="179" t="s">
        <v>106</v>
      </c>
      <c r="G269" s="126" t="s">
        <v>1599</v>
      </c>
      <c r="H269" s="126">
        <v>4</v>
      </c>
      <c r="I269" s="126" t="s">
        <v>177</v>
      </c>
      <c r="J269" s="126" t="s">
        <v>78</v>
      </c>
      <c r="K269" s="126" t="s">
        <v>1688</v>
      </c>
      <c r="L269" s="126"/>
      <c r="M269" s="126" t="s">
        <v>1689</v>
      </c>
      <c r="N269" s="427" t="s">
        <v>1690</v>
      </c>
      <c r="O269" s="126" t="s">
        <v>1691</v>
      </c>
      <c r="P269" s="126" t="s">
        <v>84</v>
      </c>
      <c r="Q269" s="172"/>
    </row>
    <row r="270" spans="2:17" ht="19.5" customHeight="1">
      <c r="B270" s="178" t="s">
        <v>14</v>
      </c>
      <c r="C270" s="134">
        <v>45929</v>
      </c>
      <c r="D270" s="134">
        <v>45929</v>
      </c>
      <c r="E270" s="177"/>
      <c r="F270" s="179" t="s">
        <v>103</v>
      </c>
      <c r="G270" s="126" t="s">
        <v>1692</v>
      </c>
      <c r="H270" s="126">
        <v>60</v>
      </c>
      <c r="I270" s="126" t="s">
        <v>956</v>
      </c>
      <c r="J270" s="126" t="s">
        <v>78</v>
      </c>
      <c r="K270" s="126" t="s">
        <v>1693</v>
      </c>
      <c r="L270" s="126"/>
      <c r="M270" s="126" t="s">
        <v>1694</v>
      </c>
      <c r="N270" s="427" t="s">
        <v>1695</v>
      </c>
      <c r="O270" s="126" t="s">
        <v>1696</v>
      </c>
      <c r="P270" s="126" t="s">
        <v>84</v>
      </c>
      <c r="Q270" s="172"/>
    </row>
    <row r="271" spans="2:17" ht="19.5" customHeight="1">
      <c r="B271" s="178" t="s">
        <v>14</v>
      </c>
      <c r="C271" s="134">
        <v>45930</v>
      </c>
      <c r="D271" s="134">
        <v>45930</v>
      </c>
      <c r="E271" s="177"/>
      <c r="F271" s="179" t="s">
        <v>37</v>
      </c>
      <c r="G271" s="126" t="s">
        <v>1697</v>
      </c>
      <c r="H271" s="126"/>
      <c r="I271" s="126" t="s">
        <v>108</v>
      </c>
      <c r="J271" s="126" t="s">
        <v>72</v>
      </c>
      <c r="K271" s="126" t="s">
        <v>1698</v>
      </c>
      <c r="L271" s="126"/>
      <c r="M271" s="126" t="s">
        <v>1699</v>
      </c>
      <c r="N271" s="427" t="s">
        <v>1700</v>
      </c>
      <c r="O271" s="126" t="s">
        <v>1701</v>
      </c>
      <c r="P271" s="126" t="s">
        <v>84</v>
      </c>
      <c r="Q271" s="172" t="s">
        <v>1795</v>
      </c>
    </row>
    <row r="272" spans="2:17" ht="19.5" customHeight="1">
      <c r="B272" s="178" t="s">
        <v>19</v>
      </c>
      <c r="C272" s="134">
        <v>45931</v>
      </c>
      <c r="D272" s="134">
        <v>45931</v>
      </c>
      <c r="E272" s="177"/>
      <c r="F272" s="179" t="s">
        <v>37</v>
      </c>
      <c r="G272" s="126" t="s">
        <v>993</v>
      </c>
      <c r="H272" s="126">
        <v>150</v>
      </c>
      <c r="I272" s="126" t="s">
        <v>114</v>
      </c>
      <c r="J272" s="126" t="s">
        <v>78</v>
      </c>
      <c r="K272" s="126" t="s">
        <v>1702</v>
      </c>
      <c r="L272" s="126"/>
      <c r="M272" s="126" t="s">
        <v>1703</v>
      </c>
      <c r="N272" s="427" t="s">
        <v>1704</v>
      </c>
      <c r="O272" s="126" t="s">
        <v>1705</v>
      </c>
      <c r="P272" s="126" t="s">
        <v>84</v>
      </c>
      <c r="Q272" s="172" t="s">
        <v>1796</v>
      </c>
    </row>
    <row r="273" spans="2:17" ht="19.5" customHeight="1">
      <c r="B273" s="161" t="s">
        <v>19</v>
      </c>
      <c r="C273" s="143">
        <v>45931</v>
      </c>
      <c r="D273" s="143">
        <v>45932</v>
      </c>
      <c r="E273" s="151"/>
      <c r="F273" s="162" t="s">
        <v>106</v>
      </c>
      <c r="G273" s="145" t="s">
        <v>1708</v>
      </c>
      <c r="H273" s="145">
        <v>20</v>
      </c>
      <c r="I273" s="145" t="s">
        <v>114</v>
      </c>
      <c r="J273" s="145" t="s">
        <v>72</v>
      </c>
      <c r="K273" s="145" t="s">
        <v>1709</v>
      </c>
      <c r="L273" s="145"/>
      <c r="M273" s="145" t="s">
        <v>1710</v>
      </c>
      <c r="N273" s="419" t="s">
        <v>1711</v>
      </c>
      <c r="O273" s="155" t="s">
        <v>1720</v>
      </c>
      <c r="P273" s="145" t="s">
        <v>84</v>
      </c>
      <c r="Q273" s="152"/>
    </row>
    <row r="274" spans="2:17" ht="19.5" customHeight="1">
      <c r="B274" s="51" t="s">
        <v>19</v>
      </c>
      <c r="C274" s="32">
        <v>45944</v>
      </c>
      <c r="D274" s="32">
        <v>45944</v>
      </c>
      <c r="E274" s="27"/>
      <c r="F274" s="98" t="s">
        <v>103</v>
      </c>
      <c r="G274" s="34" t="s">
        <v>1712</v>
      </c>
      <c r="H274" s="34">
        <v>15</v>
      </c>
      <c r="I274" s="34" t="s">
        <v>1324</v>
      </c>
      <c r="J274" s="34" t="s">
        <v>78</v>
      </c>
      <c r="K274" s="34" t="s">
        <v>1713</v>
      </c>
      <c r="L274" s="34"/>
      <c r="M274" s="34" t="s">
        <v>1714</v>
      </c>
      <c r="N274" s="422" t="s">
        <v>1715</v>
      </c>
      <c r="O274" s="30" t="s">
        <v>1721</v>
      </c>
      <c r="P274" s="34" t="s">
        <v>84</v>
      </c>
      <c r="Q274" s="35"/>
    </row>
    <row r="275" spans="2:17" ht="19.5" customHeight="1">
      <c r="B275" s="161" t="s">
        <v>19</v>
      </c>
      <c r="C275" s="143">
        <v>45944</v>
      </c>
      <c r="D275" s="143">
        <v>45944</v>
      </c>
      <c r="E275" s="151"/>
      <c r="F275" s="162" t="s">
        <v>106</v>
      </c>
      <c r="G275" s="145" t="s">
        <v>1706</v>
      </c>
      <c r="H275" s="145">
        <v>55</v>
      </c>
      <c r="I275" s="145" t="s">
        <v>114</v>
      </c>
      <c r="J275" s="145" t="s">
        <v>78</v>
      </c>
      <c r="K275" s="145" t="s">
        <v>1716</v>
      </c>
      <c r="L275" s="145"/>
      <c r="M275" s="145" t="s">
        <v>1717</v>
      </c>
      <c r="N275" s="419" t="s">
        <v>1718</v>
      </c>
      <c r="O275" s="155" t="s">
        <v>1719</v>
      </c>
      <c r="P275" s="145" t="s">
        <v>84</v>
      </c>
      <c r="Q275" s="152"/>
    </row>
    <row r="276" spans="2:17" ht="19.5" customHeight="1">
      <c r="B276" s="161" t="s">
        <v>19</v>
      </c>
      <c r="C276" s="143">
        <v>45944</v>
      </c>
      <c r="D276" s="143">
        <v>45944</v>
      </c>
      <c r="E276" s="151"/>
      <c r="F276" s="162" t="s">
        <v>106</v>
      </c>
      <c r="G276" s="145" t="s">
        <v>1732</v>
      </c>
      <c r="H276" s="145">
        <v>50</v>
      </c>
      <c r="I276" s="145" t="s">
        <v>305</v>
      </c>
      <c r="J276" s="145" t="s">
        <v>72</v>
      </c>
      <c r="K276" s="145" t="s">
        <v>1741</v>
      </c>
      <c r="L276" s="145"/>
      <c r="M276" s="145" t="s">
        <v>1742</v>
      </c>
      <c r="N276" s="419" t="s">
        <v>1743</v>
      </c>
      <c r="O276" s="155" t="s">
        <v>1744</v>
      </c>
      <c r="P276" s="145" t="s">
        <v>84</v>
      </c>
      <c r="Q276" s="152"/>
    </row>
    <row r="277" spans="2:17" ht="19.5" customHeight="1">
      <c r="B277" s="51" t="s">
        <v>19</v>
      </c>
      <c r="C277" s="32">
        <v>45947</v>
      </c>
      <c r="D277" s="32">
        <v>45947</v>
      </c>
      <c r="E277" s="27"/>
      <c r="F277" s="98" t="s">
        <v>103</v>
      </c>
      <c r="G277" s="34" t="s">
        <v>1737</v>
      </c>
      <c r="H277" s="34">
        <v>47</v>
      </c>
      <c r="I277" s="34" t="s">
        <v>821</v>
      </c>
      <c r="J277" s="34" t="s">
        <v>72</v>
      </c>
      <c r="K277" s="34" t="s">
        <v>267</v>
      </c>
      <c r="L277" s="34"/>
      <c r="M277" s="34" t="s">
        <v>1738</v>
      </c>
      <c r="N277" s="422" t="s">
        <v>1739</v>
      </c>
      <c r="O277" s="30" t="s">
        <v>1740</v>
      </c>
      <c r="P277" s="34" t="s">
        <v>84</v>
      </c>
      <c r="Q277" s="35"/>
    </row>
    <row r="278" spans="2:17" ht="19.5" customHeight="1">
      <c r="B278" s="51" t="s">
        <v>19</v>
      </c>
      <c r="C278" s="32">
        <v>45952</v>
      </c>
      <c r="D278" s="32">
        <v>45954</v>
      </c>
      <c r="E278" s="27"/>
      <c r="F278" s="98" t="s">
        <v>103</v>
      </c>
      <c r="G278" s="34" t="s">
        <v>1745</v>
      </c>
      <c r="H278" s="34">
        <v>30</v>
      </c>
      <c r="I278" s="34" t="s">
        <v>226</v>
      </c>
      <c r="J278" s="34" t="s">
        <v>72</v>
      </c>
      <c r="K278" s="34" t="s">
        <v>1746</v>
      </c>
      <c r="L278" s="34"/>
      <c r="M278" s="34" t="s">
        <v>1747</v>
      </c>
      <c r="N278" s="422" t="s">
        <v>1748</v>
      </c>
      <c r="O278" s="30"/>
      <c r="P278" s="34" t="s">
        <v>84</v>
      </c>
      <c r="Q278" s="35"/>
    </row>
    <row r="279" spans="2:17" ht="19.5" customHeight="1">
      <c r="B279" s="51" t="s">
        <v>19</v>
      </c>
      <c r="C279" s="32">
        <v>45958</v>
      </c>
      <c r="D279" s="32">
        <v>45959</v>
      </c>
      <c r="E279" s="27"/>
      <c r="F279" s="98" t="s">
        <v>103</v>
      </c>
      <c r="G279" s="34" t="s">
        <v>1749</v>
      </c>
      <c r="H279" s="34">
        <v>360</v>
      </c>
      <c r="I279" s="34" t="s">
        <v>209</v>
      </c>
      <c r="J279" s="34" t="s">
        <v>72</v>
      </c>
      <c r="K279" s="34" t="s">
        <v>1750</v>
      </c>
      <c r="L279" s="34"/>
      <c r="M279" s="34" t="s">
        <v>1751</v>
      </c>
      <c r="N279" s="422" t="s">
        <v>1752</v>
      </c>
      <c r="O279" s="30" t="s">
        <v>1753</v>
      </c>
      <c r="P279" s="34" t="s">
        <v>84</v>
      </c>
      <c r="Q279" s="35"/>
    </row>
    <row r="280" spans="2:17" ht="19.5" customHeight="1">
      <c r="B280" s="51" t="s">
        <v>19</v>
      </c>
      <c r="C280" s="32">
        <v>45959</v>
      </c>
      <c r="D280" s="32">
        <v>45960</v>
      </c>
      <c r="E280" s="27"/>
      <c r="F280" s="98" t="s">
        <v>103</v>
      </c>
      <c r="G280" s="34" t="s">
        <v>1754</v>
      </c>
      <c r="H280" s="34">
        <v>13</v>
      </c>
      <c r="I280" s="34" t="s">
        <v>1755</v>
      </c>
      <c r="J280" s="34" t="s">
        <v>72</v>
      </c>
      <c r="K280" s="34" t="s">
        <v>1756</v>
      </c>
      <c r="L280" s="34"/>
      <c r="M280" s="34" t="s">
        <v>1757</v>
      </c>
      <c r="N280" s="422" t="s">
        <v>1758</v>
      </c>
      <c r="O280" s="30" t="s">
        <v>1759</v>
      </c>
      <c r="P280" s="34" t="s">
        <v>84</v>
      </c>
      <c r="Q280" s="35"/>
    </row>
    <row r="281" spans="2:17" ht="19.5" customHeight="1">
      <c r="B281" s="161" t="s">
        <v>19</v>
      </c>
      <c r="C281" s="143">
        <v>45961</v>
      </c>
      <c r="D281" s="143">
        <v>45965</v>
      </c>
      <c r="E281" s="151"/>
      <c r="F281" s="162" t="s">
        <v>106</v>
      </c>
      <c r="G281" s="145" t="s">
        <v>1733</v>
      </c>
      <c r="H281" s="145">
        <v>30</v>
      </c>
      <c r="I281" s="145" t="s">
        <v>114</v>
      </c>
      <c r="J281" s="145" t="s">
        <v>78</v>
      </c>
      <c r="K281" s="145" t="s">
        <v>1764</v>
      </c>
      <c r="L281" s="145"/>
      <c r="M281" s="145" t="s">
        <v>1765</v>
      </c>
      <c r="N281" s="419" t="s">
        <v>1766</v>
      </c>
      <c r="O281" s="155" t="s">
        <v>1767</v>
      </c>
      <c r="P281" s="145" t="s">
        <v>84</v>
      </c>
      <c r="Q281" s="152"/>
    </row>
    <row r="282" spans="2:17" ht="19.5" customHeight="1">
      <c r="B282" s="51" t="s">
        <v>29</v>
      </c>
      <c r="C282" s="32">
        <v>45964</v>
      </c>
      <c r="D282" s="32">
        <v>45965</v>
      </c>
      <c r="E282" s="27"/>
      <c r="F282" s="98" t="s">
        <v>103</v>
      </c>
      <c r="G282" s="34" t="s">
        <v>1760</v>
      </c>
      <c r="H282" s="34">
        <v>5</v>
      </c>
      <c r="I282" s="34" t="s">
        <v>114</v>
      </c>
      <c r="J282" s="34" t="s">
        <v>72</v>
      </c>
      <c r="K282" s="34" t="s">
        <v>1761</v>
      </c>
      <c r="L282" s="34"/>
      <c r="M282" s="34" t="s">
        <v>1762</v>
      </c>
      <c r="N282" s="422" t="s">
        <v>1763</v>
      </c>
      <c r="O282" s="30" t="s">
        <v>1797</v>
      </c>
      <c r="P282" s="34" t="s">
        <v>84</v>
      </c>
      <c r="Q282" s="35"/>
    </row>
    <row r="283" spans="2:17" ht="19.5" customHeight="1">
      <c r="B283" s="51" t="s">
        <v>29</v>
      </c>
      <c r="C283" s="32">
        <v>45965</v>
      </c>
      <c r="D283" s="32">
        <v>45966</v>
      </c>
      <c r="E283" s="27"/>
      <c r="F283" s="98" t="s">
        <v>103</v>
      </c>
      <c r="G283" s="34" t="s">
        <v>1768</v>
      </c>
      <c r="H283" s="34">
        <v>95</v>
      </c>
      <c r="I283" s="34" t="s">
        <v>114</v>
      </c>
      <c r="J283" s="34" t="s">
        <v>78</v>
      </c>
      <c r="K283" s="34" t="s">
        <v>1769</v>
      </c>
      <c r="L283" s="34"/>
      <c r="M283" s="34" t="s">
        <v>1770</v>
      </c>
      <c r="N283" s="422" t="s">
        <v>1771</v>
      </c>
      <c r="O283" s="30" t="s">
        <v>1772</v>
      </c>
      <c r="P283" s="34" t="s">
        <v>84</v>
      </c>
      <c r="Q283" s="35"/>
    </row>
    <row r="284" spans="2:17" ht="19.5" customHeight="1">
      <c r="B284" s="161" t="s">
        <v>29</v>
      </c>
      <c r="C284" s="143">
        <v>45966</v>
      </c>
      <c r="D284" s="143">
        <v>45968</v>
      </c>
      <c r="E284" s="151"/>
      <c r="F284" s="162" t="s">
        <v>106</v>
      </c>
      <c r="G284" s="145" t="s">
        <v>1775</v>
      </c>
      <c r="H284" s="145">
        <v>30</v>
      </c>
      <c r="I284" s="145" t="s">
        <v>114</v>
      </c>
      <c r="J284" s="145" t="s">
        <v>185</v>
      </c>
      <c r="K284" s="145" t="s">
        <v>1780</v>
      </c>
      <c r="L284" s="145"/>
      <c r="M284" s="145" t="s">
        <v>1786</v>
      </c>
      <c r="N284" s="419" t="s">
        <v>1781</v>
      </c>
      <c r="O284" s="155" t="s">
        <v>1787</v>
      </c>
      <c r="P284" s="145" t="s">
        <v>84</v>
      </c>
      <c r="Q284" s="152"/>
    </row>
    <row r="285" spans="2:17" ht="19.5" customHeight="1">
      <c r="B285" s="51" t="s">
        <v>29</v>
      </c>
      <c r="C285" s="32">
        <v>45971</v>
      </c>
      <c r="D285" s="32">
        <v>45971</v>
      </c>
      <c r="E285" s="27"/>
      <c r="F285" s="98" t="s">
        <v>103</v>
      </c>
      <c r="G285" s="34" t="s">
        <v>1782</v>
      </c>
      <c r="H285" s="34">
        <v>100</v>
      </c>
      <c r="I285" s="34" t="s">
        <v>114</v>
      </c>
      <c r="J285" s="34" t="s">
        <v>78</v>
      </c>
      <c r="K285" s="34" t="s">
        <v>267</v>
      </c>
      <c r="L285" s="34"/>
      <c r="M285" s="34" t="s">
        <v>1783</v>
      </c>
      <c r="N285" s="422" t="s">
        <v>1784</v>
      </c>
      <c r="O285" s="31" t="s">
        <v>1785</v>
      </c>
      <c r="P285" s="34" t="s">
        <v>84</v>
      </c>
      <c r="Q285" s="35"/>
    </row>
    <row r="286" spans="2:17" ht="19.5" customHeight="1">
      <c r="B286" s="51" t="s">
        <v>29</v>
      </c>
      <c r="C286" s="32">
        <v>45968</v>
      </c>
      <c r="D286" s="32">
        <v>45972</v>
      </c>
      <c r="E286" s="27"/>
      <c r="F286" s="98" t="s">
        <v>103</v>
      </c>
      <c r="G286" s="34" t="s">
        <v>1788</v>
      </c>
      <c r="H286" s="34">
        <v>14</v>
      </c>
      <c r="I286" s="34" t="s">
        <v>34</v>
      </c>
      <c r="J286" s="34" t="s">
        <v>72</v>
      </c>
      <c r="K286" s="34" t="s">
        <v>1789</v>
      </c>
      <c r="L286" s="34"/>
      <c r="M286" s="34" t="s">
        <v>1790</v>
      </c>
      <c r="N286" s="422" t="s">
        <v>1791</v>
      </c>
      <c r="O286" s="30" t="s">
        <v>1792</v>
      </c>
      <c r="P286" s="34" t="s">
        <v>84</v>
      </c>
      <c r="Q286" s="35"/>
    </row>
    <row r="287" spans="2:17" ht="20.100000000000001" customHeight="1">
      <c r="B287" s="161" t="s">
        <v>29</v>
      </c>
      <c r="C287" s="143">
        <v>45965</v>
      </c>
      <c r="D287" s="143">
        <v>45966</v>
      </c>
      <c r="E287" s="151"/>
      <c r="F287" s="162" t="s">
        <v>106</v>
      </c>
      <c r="G287" s="145" t="s">
        <v>1736</v>
      </c>
      <c r="H287" s="145">
        <v>10</v>
      </c>
      <c r="I287" s="145" t="s">
        <v>1773</v>
      </c>
      <c r="J287" s="145" t="s">
        <v>78</v>
      </c>
      <c r="K287" s="145" t="s">
        <v>1798</v>
      </c>
      <c r="L287" s="145"/>
      <c r="M287" s="145" t="s">
        <v>1799</v>
      </c>
      <c r="N287" s="419" t="s">
        <v>1774</v>
      </c>
      <c r="O287" s="155"/>
      <c r="P287" s="145" t="s">
        <v>84</v>
      </c>
      <c r="Q287" s="152"/>
    </row>
    <row r="288" spans="2:17" ht="20.100000000000001" customHeight="1">
      <c r="B288" s="161" t="s">
        <v>29</v>
      </c>
      <c r="C288" s="143">
        <v>45973</v>
      </c>
      <c r="D288" s="143">
        <v>45974</v>
      </c>
      <c r="E288" s="151"/>
      <c r="F288" s="162" t="s">
        <v>106</v>
      </c>
      <c r="G288" s="145" t="s">
        <v>1800</v>
      </c>
      <c r="H288" s="145">
        <v>25</v>
      </c>
      <c r="I288" s="145" t="s">
        <v>1801</v>
      </c>
      <c r="J288" s="145" t="s">
        <v>78</v>
      </c>
      <c r="K288" s="145" t="s">
        <v>1802</v>
      </c>
      <c r="L288" s="145"/>
      <c r="M288" s="145" t="s">
        <v>1803</v>
      </c>
      <c r="N288" s="419" t="s">
        <v>1804</v>
      </c>
      <c r="O288" s="155" t="s">
        <v>1805</v>
      </c>
      <c r="P288" s="145" t="s">
        <v>84</v>
      </c>
      <c r="Q288" s="152"/>
    </row>
    <row r="289" spans="2:17" ht="20.100000000000001" customHeight="1">
      <c r="B289" s="161" t="s">
        <v>29</v>
      </c>
      <c r="C289" s="143">
        <v>45973</v>
      </c>
      <c r="D289" s="143">
        <v>45974</v>
      </c>
      <c r="E289" s="151"/>
      <c r="F289" s="162" t="s">
        <v>106</v>
      </c>
      <c r="G289" s="145" t="s">
        <v>1806</v>
      </c>
      <c r="H289" s="145">
        <v>55</v>
      </c>
      <c r="I289" s="145" t="s">
        <v>1175</v>
      </c>
      <c r="J289" s="145" t="s">
        <v>78</v>
      </c>
      <c r="K289" s="145" t="s">
        <v>1807</v>
      </c>
      <c r="L289" s="145"/>
      <c r="M289" s="145" t="s">
        <v>1808</v>
      </c>
      <c r="N289" s="419" t="s">
        <v>1809</v>
      </c>
      <c r="O289" s="155" t="s">
        <v>1810</v>
      </c>
      <c r="P289" s="145" t="s">
        <v>84</v>
      </c>
      <c r="Q289" s="152"/>
    </row>
    <row r="290" spans="2:17" ht="20.100000000000001" customHeight="1">
      <c r="B290" s="51" t="s">
        <v>29</v>
      </c>
      <c r="C290" s="32">
        <v>45973</v>
      </c>
      <c r="D290" s="32">
        <v>45974</v>
      </c>
      <c r="E290" s="27"/>
      <c r="F290" s="98" t="s">
        <v>103</v>
      </c>
      <c r="G290" s="34" t="s">
        <v>1811</v>
      </c>
      <c r="H290" s="34">
        <v>12</v>
      </c>
      <c r="I290" s="34" t="s">
        <v>109</v>
      </c>
      <c r="J290" s="34" t="s">
        <v>78</v>
      </c>
      <c r="K290" s="34" t="s">
        <v>267</v>
      </c>
      <c r="L290" s="34"/>
      <c r="M290" s="34" t="s">
        <v>1812</v>
      </c>
      <c r="N290" s="422" t="s">
        <v>1813</v>
      </c>
      <c r="O290" s="30"/>
      <c r="P290" s="34" t="s">
        <v>84</v>
      </c>
      <c r="Q290" s="35"/>
    </row>
    <row r="291" spans="2:17" ht="20.100000000000001" customHeight="1">
      <c r="B291" s="51" t="s">
        <v>29</v>
      </c>
      <c r="C291" s="32">
        <v>45975</v>
      </c>
      <c r="D291" s="32">
        <v>45976</v>
      </c>
      <c r="E291" s="27"/>
      <c r="F291" s="98" t="s">
        <v>103</v>
      </c>
      <c r="G291" s="34" t="s">
        <v>1814</v>
      </c>
      <c r="H291" s="34">
        <v>30</v>
      </c>
      <c r="I291" s="34" t="s">
        <v>448</v>
      </c>
      <c r="J291" s="34" t="s">
        <v>78</v>
      </c>
      <c r="K291" s="34" t="s">
        <v>1815</v>
      </c>
      <c r="L291" s="34"/>
      <c r="M291" s="34" t="s">
        <v>1816</v>
      </c>
      <c r="N291" s="422" t="s">
        <v>1817</v>
      </c>
      <c r="O291" s="30" t="s">
        <v>1818</v>
      </c>
      <c r="P291" s="34" t="s">
        <v>84</v>
      </c>
      <c r="Q291" s="35"/>
    </row>
    <row r="292" spans="2:17" ht="20.100000000000001" customHeight="1">
      <c r="B292" s="51" t="s">
        <v>29</v>
      </c>
      <c r="C292" s="32">
        <v>45975</v>
      </c>
      <c r="D292" s="32">
        <v>45975</v>
      </c>
      <c r="E292" s="27"/>
      <c r="F292" s="98" t="s">
        <v>103</v>
      </c>
      <c r="G292" s="34" t="s">
        <v>1819</v>
      </c>
      <c r="H292" s="34">
        <v>600</v>
      </c>
      <c r="I292" s="34" t="s">
        <v>544</v>
      </c>
      <c r="J292" s="34" t="s">
        <v>78</v>
      </c>
      <c r="K292" s="34" t="s">
        <v>1820</v>
      </c>
      <c r="L292" s="34"/>
      <c r="M292" s="34" t="s">
        <v>1821</v>
      </c>
      <c r="N292" s="422" t="s">
        <v>1822</v>
      </c>
      <c r="O292" s="30" t="s">
        <v>1823</v>
      </c>
      <c r="P292" s="34" t="s">
        <v>84</v>
      </c>
      <c r="Q292" s="35"/>
    </row>
    <row r="293" spans="2:17" ht="20.100000000000001" customHeight="1">
      <c r="B293" s="161" t="s">
        <v>29</v>
      </c>
      <c r="C293" s="143">
        <v>45979</v>
      </c>
      <c r="D293" s="143">
        <v>45979</v>
      </c>
      <c r="E293" s="151"/>
      <c r="F293" s="162" t="s">
        <v>106</v>
      </c>
      <c r="G293" s="145" t="s">
        <v>1824</v>
      </c>
      <c r="H293" s="145">
        <v>30</v>
      </c>
      <c r="I293" s="145" t="s">
        <v>34</v>
      </c>
      <c r="J293" s="145" t="s">
        <v>78</v>
      </c>
      <c r="K293" s="145" t="s">
        <v>1825</v>
      </c>
      <c r="L293" s="145"/>
      <c r="M293" s="145" t="s">
        <v>1826</v>
      </c>
      <c r="N293" s="419" t="s">
        <v>1827</v>
      </c>
      <c r="O293" s="155" t="s">
        <v>1828</v>
      </c>
      <c r="P293" s="145" t="s">
        <v>84</v>
      </c>
      <c r="Q293" s="152"/>
    </row>
    <row r="294" spans="2:17" ht="20.100000000000001" customHeight="1">
      <c r="B294" s="178" t="s">
        <v>29</v>
      </c>
      <c r="C294" s="134">
        <v>45980</v>
      </c>
      <c r="D294" s="134">
        <v>45980</v>
      </c>
      <c r="E294" s="177"/>
      <c r="F294" s="179" t="s">
        <v>37</v>
      </c>
      <c r="G294" s="126" t="s">
        <v>1829</v>
      </c>
      <c r="H294" s="126">
        <v>80</v>
      </c>
      <c r="I294" s="126" t="s">
        <v>1830</v>
      </c>
      <c r="J294" s="126" t="s">
        <v>72</v>
      </c>
      <c r="K294" s="126" t="s">
        <v>1831</v>
      </c>
      <c r="L294" s="126"/>
      <c r="M294" s="126" t="s">
        <v>1832</v>
      </c>
      <c r="N294" s="427" t="s">
        <v>1833</v>
      </c>
      <c r="O294" s="126" t="s">
        <v>1834</v>
      </c>
      <c r="P294" s="126" t="s">
        <v>84</v>
      </c>
      <c r="Q294" s="172" t="s">
        <v>1959</v>
      </c>
    </row>
    <row r="295" spans="2:17" ht="20.100000000000001" customHeight="1">
      <c r="B295" s="161" t="s">
        <v>29</v>
      </c>
      <c r="C295" s="143">
        <v>45981</v>
      </c>
      <c r="D295" s="143">
        <v>45985</v>
      </c>
      <c r="E295" s="151"/>
      <c r="F295" s="162" t="s">
        <v>106</v>
      </c>
      <c r="G295" s="145" t="s">
        <v>1835</v>
      </c>
      <c r="H295" s="145">
        <v>30</v>
      </c>
      <c r="I295" s="145" t="s">
        <v>1914</v>
      </c>
      <c r="J295" s="145" t="s">
        <v>72</v>
      </c>
      <c r="K295" s="145" t="s">
        <v>1915</v>
      </c>
      <c r="L295" s="145"/>
      <c r="M295" s="145" t="s">
        <v>1960</v>
      </c>
      <c r="N295" s="419" t="s">
        <v>1962</v>
      </c>
      <c r="O295" s="155" t="s">
        <v>1961</v>
      </c>
      <c r="P295" s="145"/>
      <c r="Q295" s="152"/>
    </row>
    <row r="296" spans="2:17" ht="20.100000000000001" customHeight="1">
      <c r="B296" s="51" t="s">
        <v>29</v>
      </c>
      <c r="C296" s="32">
        <v>45982</v>
      </c>
      <c r="D296" s="32">
        <v>45985</v>
      </c>
      <c r="E296" s="27"/>
      <c r="F296" s="98" t="s">
        <v>103</v>
      </c>
      <c r="G296" s="34" t="s">
        <v>1916</v>
      </c>
      <c r="H296" s="34">
        <v>25</v>
      </c>
      <c r="I296" s="34" t="s">
        <v>1175</v>
      </c>
      <c r="J296" s="34" t="s">
        <v>78</v>
      </c>
      <c r="K296" s="34" t="s">
        <v>1917</v>
      </c>
      <c r="L296" s="34"/>
      <c r="M296" s="34" t="s">
        <v>1918</v>
      </c>
      <c r="N296" s="422" t="s">
        <v>1966</v>
      </c>
      <c r="O296" s="31" t="s">
        <v>1919</v>
      </c>
      <c r="P296" s="34"/>
      <c r="Q296" s="35"/>
    </row>
    <row r="297" spans="2:17" ht="20.100000000000001" customHeight="1">
      <c r="B297" s="51" t="s">
        <v>29</v>
      </c>
      <c r="C297" s="32">
        <v>45986</v>
      </c>
      <c r="D297" s="32">
        <v>45987</v>
      </c>
      <c r="E297" s="27"/>
      <c r="F297" s="98" t="s">
        <v>103</v>
      </c>
      <c r="G297" s="34" t="s">
        <v>1963</v>
      </c>
      <c r="H297" s="34">
        <v>60</v>
      </c>
      <c r="I297" s="34" t="s">
        <v>1284</v>
      </c>
      <c r="J297" s="34" t="s">
        <v>78</v>
      </c>
      <c r="K297" s="34" t="s">
        <v>1964</v>
      </c>
      <c r="L297" s="34"/>
      <c r="M297" s="34" t="s">
        <v>1965</v>
      </c>
      <c r="N297" s="422" t="s">
        <v>1967</v>
      </c>
      <c r="O297" s="368"/>
      <c r="P297" s="34"/>
      <c r="Q297" s="35"/>
    </row>
    <row r="298" spans="2:17" ht="20.100000000000001" customHeight="1">
      <c r="B298" s="161" t="s">
        <v>29</v>
      </c>
      <c r="C298" s="143">
        <v>45987</v>
      </c>
      <c r="D298" s="143">
        <v>45988</v>
      </c>
      <c r="E298" s="151"/>
      <c r="F298" s="162" t="s">
        <v>106</v>
      </c>
      <c r="G298" s="145" t="s">
        <v>1904</v>
      </c>
      <c r="H298" s="145">
        <v>123</v>
      </c>
      <c r="I298" s="145" t="s">
        <v>114</v>
      </c>
      <c r="J298" s="145" t="s">
        <v>78</v>
      </c>
      <c r="K298" s="145" t="s">
        <v>1968</v>
      </c>
      <c r="L298" s="145"/>
      <c r="M298" s="145" t="s">
        <v>1969</v>
      </c>
      <c r="N298" s="419" t="s">
        <v>1970</v>
      </c>
      <c r="O298" s="155" t="s">
        <v>1971</v>
      </c>
      <c r="P298" s="145"/>
      <c r="Q298" s="152"/>
    </row>
    <row r="299" spans="2:17" ht="20.100000000000001" customHeight="1">
      <c r="B299" s="161" t="s">
        <v>29</v>
      </c>
      <c r="C299" s="143">
        <v>45988</v>
      </c>
      <c r="D299" s="143">
        <v>45988</v>
      </c>
      <c r="E299" s="151"/>
      <c r="F299" s="162" t="s">
        <v>106</v>
      </c>
      <c r="G299" s="145" t="s">
        <v>1910</v>
      </c>
      <c r="H299" s="145">
        <v>180</v>
      </c>
      <c r="I299" s="145" t="s">
        <v>226</v>
      </c>
      <c r="J299" s="145" t="s">
        <v>78</v>
      </c>
      <c r="K299" s="145" t="s">
        <v>1972</v>
      </c>
      <c r="L299" s="145"/>
      <c r="M299" s="145" t="s">
        <v>1973</v>
      </c>
      <c r="N299" s="419" t="s">
        <v>1974</v>
      </c>
      <c r="O299" s="155" t="s">
        <v>1975</v>
      </c>
      <c r="P299" s="145"/>
      <c r="Q299" s="152"/>
    </row>
    <row r="300" spans="2:17" ht="20.100000000000001" customHeight="1">
      <c r="B300" s="51" t="s">
        <v>29</v>
      </c>
      <c r="C300" s="32">
        <v>45988</v>
      </c>
      <c r="D300" s="32">
        <v>45992</v>
      </c>
      <c r="E300" s="27"/>
      <c r="F300" s="98" t="s">
        <v>103</v>
      </c>
      <c r="G300" s="34" t="s">
        <v>1976</v>
      </c>
      <c r="H300" s="34">
        <v>100</v>
      </c>
      <c r="I300" s="34" t="s">
        <v>1977</v>
      </c>
      <c r="J300" s="34" t="s">
        <v>78</v>
      </c>
      <c r="K300" s="34" t="s">
        <v>1978</v>
      </c>
      <c r="L300" s="34"/>
      <c r="M300" s="34" t="s">
        <v>1979</v>
      </c>
      <c r="N300" s="422" t="s">
        <v>1980</v>
      </c>
      <c r="O300" s="31" t="s">
        <v>1981</v>
      </c>
      <c r="P300" s="34"/>
      <c r="Q300" s="35"/>
    </row>
    <row r="301" spans="2:17" ht="20.100000000000001" customHeight="1">
      <c r="B301" s="51" t="s">
        <v>29</v>
      </c>
      <c r="C301" s="32">
        <v>45989</v>
      </c>
      <c r="D301" s="32">
        <v>45994</v>
      </c>
      <c r="E301" s="27"/>
      <c r="F301" s="98" t="s">
        <v>103</v>
      </c>
      <c r="G301" s="34" t="s">
        <v>1982</v>
      </c>
      <c r="H301" s="34">
        <v>9</v>
      </c>
      <c r="I301" s="34" t="s">
        <v>1983</v>
      </c>
      <c r="J301" s="34" t="s">
        <v>78</v>
      </c>
      <c r="K301" s="34" t="s">
        <v>267</v>
      </c>
      <c r="L301" s="34"/>
      <c r="M301" s="34" t="s">
        <v>1984</v>
      </c>
      <c r="N301" s="422" t="s">
        <v>1985</v>
      </c>
      <c r="O301" s="31" t="s">
        <v>1986</v>
      </c>
      <c r="P301" s="34"/>
      <c r="Q301" s="35"/>
    </row>
    <row r="302" spans="2:17" ht="20.100000000000001" customHeight="1">
      <c r="B302" s="51" t="s">
        <v>29</v>
      </c>
      <c r="C302" s="32">
        <v>45989</v>
      </c>
      <c r="D302" s="32">
        <v>45994</v>
      </c>
      <c r="E302" s="27"/>
      <c r="F302" s="98" t="s">
        <v>103</v>
      </c>
      <c r="G302" s="34" t="s">
        <v>1987</v>
      </c>
      <c r="H302" s="34">
        <v>22</v>
      </c>
      <c r="I302" s="34" t="s">
        <v>544</v>
      </c>
      <c r="J302" s="34" t="s">
        <v>78</v>
      </c>
      <c r="K302" s="34" t="s">
        <v>267</v>
      </c>
      <c r="L302" s="34"/>
      <c r="M302" s="34" t="s">
        <v>1988</v>
      </c>
      <c r="N302" s="422" t="s">
        <v>1989</v>
      </c>
      <c r="O302" s="31" t="s">
        <v>1990</v>
      </c>
      <c r="P302" s="34"/>
      <c r="Q302" s="35"/>
    </row>
    <row r="303" spans="2:17" ht="20.100000000000001" customHeight="1">
      <c r="B303" s="161" t="s">
        <v>30</v>
      </c>
      <c r="C303" s="143">
        <v>45992</v>
      </c>
      <c r="D303" s="143">
        <v>45994</v>
      </c>
      <c r="E303" s="151"/>
      <c r="F303" s="162" t="s">
        <v>106</v>
      </c>
      <c r="G303" s="145" t="s">
        <v>1991</v>
      </c>
      <c r="H303" s="145">
        <v>10</v>
      </c>
      <c r="I303" s="145" t="s">
        <v>114</v>
      </c>
      <c r="J303" s="145" t="s">
        <v>78</v>
      </c>
      <c r="K303" s="145" t="s">
        <v>1992</v>
      </c>
      <c r="L303" s="145" t="s">
        <v>142</v>
      </c>
      <c r="M303" s="145" t="s">
        <v>1993</v>
      </c>
      <c r="N303" s="419" t="s">
        <v>1994</v>
      </c>
      <c r="O303" s="155" t="s">
        <v>1995</v>
      </c>
      <c r="P303" s="145"/>
      <c r="Q303" s="152"/>
    </row>
    <row r="304" spans="2:17" ht="20.100000000000001" customHeight="1">
      <c r="B304" s="51" t="s">
        <v>30</v>
      </c>
      <c r="C304" s="32">
        <v>45992</v>
      </c>
      <c r="D304" s="32">
        <v>45995</v>
      </c>
      <c r="E304" s="27"/>
      <c r="F304" s="98" t="s">
        <v>103</v>
      </c>
      <c r="G304" s="34" t="s">
        <v>1996</v>
      </c>
      <c r="H304" s="34">
        <v>14</v>
      </c>
      <c r="I304" s="34" t="s">
        <v>888</v>
      </c>
      <c r="J304" s="34" t="s">
        <v>72</v>
      </c>
      <c r="K304" s="34" t="s">
        <v>267</v>
      </c>
      <c r="L304" s="34" t="s">
        <v>87</v>
      </c>
      <c r="M304" s="34" t="s">
        <v>1997</v>
      </c>
      <c r="N304" s="422" t="s">
        <v>1998</v>
      </c>
      <c r="O304" s="30" t="s">
        <v>1999</v>
      </c>
      <c r="P304" s="34"/>
      <c r="Q304" s="35"/>
    </row>
    <row r="305" spans="2:17" ht="20.100000000000001" customHeight="1">
      <c r="B305" s="161" t="s">
        <v>30</v>
      </c>
      <c r="C305" s="143">
        <v>45993</v>
      </c>
      <c r="D305" s="143">
        <v>45993</v>
      </c>
      <c r="E305" s="151"/>
      <c r="F305" s="162" t="s">
        <v>106</v>
      </c>
      <c r="G305" s="145" t="s">
        <v>1935</v>
      </c>
      <c r="H305" s="145">
        <v>200</v>
      </c>
      <c r="I305" s="145" t="s">
        <v>330</v>
      </c>
      <c r="J305" s="145" t="s">
        <v>78</v>
      </c>
      <c r="K305" s="145" t="s">
        <v>2000</v>
      </c>
      <c r="L305" s="145" t="s">
        <v>142</v>
      </c>
      <c r="M305" s="145" t="s">
        <v>2001</v>
      </c>
      <c r="N305" s="419" t="s">
        <v>2002</v>
      </c>
      <c r="O305" s="155" t="s">
        <v>2003</v>
      </c>
      <c r="P305" s="145"/>
      <c r="Q305" s="152"/>
    </row>
    <row r="306" spans="2:17" ht="20.100000000000001" customHeight="1">
      <c r="B306" s="161" t="s">
        <v>30</v>
      </c>
      <c r="C306" s="143">
        <v>45993</v>
      </c>
      <c r="D306" s="143">
        <v>45994</v>
      </c>
      <c r="E306" s="151"/>
      <c r="F306" s="162" t="s">
        <v>106</v>
      </c>
      <c r="G306" s="145" t="s">
        <v>1907</v>
      </c>
      <c r="H306" s="145">
        <v>100</v>
      </c>
      <c r="I306" s="145" t="s">
        <v>2004</v>
      </c>
      <c r="J306" s="145" t="s">
        <v>78</v>
      </c>
      <c r="K306" s="145" t="s">
        <v>2005</v>
      </c>
      <c r="L306" s="145" t="s">
        <v>142</v>
      </c>
      <c r="M306" s="145" t="s">
        <v>2006</v>
      </c>
      <c r="N306" s="419" t="s">
        <v>2007</v>
      </c>
      <c r="O306" s="155" t="s">
        <v>2008</v>
      </c>
      <c r="P306" s="145"/>
      <c r="Q306" s="152"/>
    </row>
    <row r="307" spans="2:17" ht="20.100000000000001" customHeight="1">
      <c r="B307" s="51" t="s">
        <v>30</v>
      </c>
      <c r="C307" s="32">
        <v>45994</v>
      </c>
      <c r="D307" s="32">
        <v>45999</v>
      </c>
      <c r="E307" s="27"/>
      <c r="F307" s="98" t="s">
        <v>103</v>
      </c>
      <c r="G307" s="34" t="s">
        <v>2009</v>
      </c>
      <c r="H307" s="34">
        <v>100</v>
      </c>
      <c r="I307" s="34" t="s">
        <v>114</v>
      </c>
      <c r="J307" s="34" t="s">
        <v>78</v>
      </c>
      <c r="K307" s="34" t="s">
        <v>2010</v>
      </c>
      <c r="L307" s="34" t="s">
        <v>142</v>
      </c>
      <c r="M307" s="34" t="s">
        <v>2011</v>
      </c>
      <c r="N307" s="422" t="s">
        <v>2012</v>
      </c>
      <c r="O307" s="30" t="s">
        <v>2013</v>
      </c>
      <c r="P307" s="34"/>
      <c r="Q307" s="35"/>
    </row>
    <row r="308" spans="2:17" ht="20.100000000000001" customHeight="1">
      <c r="B308" s="51" t="s">
        <v>30</v>
      </c>
      <c r="C308" s="32">
        <v>45994</v>
      </c>
      <c r="D308" s="32">
        <v>45999</v>
      </c>
      <c r="E308" s="27"/>
      <c r="F308" s="98" t="s">
        <v>103</v>
      </c>
      <c r="G308" s="34" t="s">
        <v>2014</v>
      </c>
      <c r="H308" s="34">
        <v>150</v>
      </c>
      <c r="I308" s="34" t="s">
        <v>114</v>
      </c>
      <c r="J308" s="34" t="s">
        <v>78</v>
      </c>
      <c r="K308" s="34" t="s">
        <v>2015</v>
      </c>
      <c r="L308" s="34" t="s">
        <v>142</v>
      </c>
      <c r="M308" s="34" t="s">
        <v>2016</v>
      </c>
      <c r="N308" s="422" t="s">
        <v>2017</v>
      </c>
      <c r="O308" s="30" t="s">
        <v>2018</v>
      </c>
      <c r="P308" s="34"/>
      <c r="Q308" s="35"/>
    </row>
    <row r="309" spans="2:17" ht="20.100000000000001" customHeight="1">
      <c r="B309" s="51" t="s">
        <v>30</v>
      </c>
      <c r="C309" s="32">
        <v>45995</v>
      </c>
      <c r="D309" s="32">
        <v>45999</v>
      </c>
      <c r="E309" s="27"/>
      <c r="F309" s="98" t="s">
        <v>103</v>
      </c>
      <c r="G309" s="34" t="s">
        <v>2019</v>
      </c>
      <c r="H309" s="34">
        <v>70</v>
      </c>
      <c r="I309" s="34" t="s">
        <v>255</v>
      </c>
      <c r="J309" s="34" t="s">
        <v>78</v>
      </c>
      <c r="K309" s="34" t="s">
        <v>2020</v>
      </c>
      <c r="L309" s="34" t="s">
        <v>142</v>
      </c>
      <c r="M309" s="34" t="s">
        <v>2021</v>
      </c>
      <c r="N309" s="422" t="s">
        <v>2022</v>
      </c>
      <c r="O309" s="30" t="s">
        <v>2023</v>
      </c>
      <c r="P309" s="34"/>
      <c r="Q309" s="35"/>
    </row>
    <row r="310" spans="2:17" ht="20.100000000000001" customHeight="1">
      <c r="B310" s="51" t="s">
        <v>30</v>
      </c>
      <c r="C310" s="32">
        <v>45995</v>
      </c>
      <c r="D310" s="32">
        <v>45999</v>
      </c>
      <c r="E310" s="27"/>
      <c r="F310" s="98" t="s">
        <v>103</v>
      </c>
      <c r="G310" s="34" t="s">
        <v>2024</v>
      </c>
      <c r="H310" s="34">
        <v>20</v>
      </c>
      <c r="I310" s="34" t="s">
        <v>209</v>
      </c>
      <c r="J310" s="34" t="s">
        <v>72</v>
      </c>
      <c r="K310" s="34" t="s">
        <v>267</v>
      </c>
      <c r="L310" s="34" t="s">
        <v>142</v>
      </c>
      <c r="M310" s="34" t="s">
        <v>2025</v>
      </c>
      <c r="N310" s="422" t="s">
        <v>2026</v>
      </c>
      <c r="O310" s="30" t="s">
        <v>2027</v>
      </c>
      <c r="P310" s="34"/>
      <c r="Q310" s="35"/>
    </row>
    <row r="311" spans="2:17" ht="20.100000000000001" customHeight="1">
      <c r="B311" s="51" t="s">
        <v>30</v>
      </c>
      <c r="C311" s="32">
        <v>45999</v>
      </c>
      <c r="D311" s="32">
        <v>45999</v>
      </c>
      <c r="E311" s="27"/>
      <c r="F311" s="98" t="s">
        <v>103</v>
      </c>
      <c r="G311" s="34" t="s">
        <v>2028</v>
      </c>
      <c r="H311" s="34">
        <v>300</v>
      </c>
      <c r="I311" s="34" t="s">
        <v>186</v>
      </c>
      <c r="J311" s="34" t="s">
        <v>78</v>
      </c>
      <c r="K311" s="34" t="s">
        <v>2029</v>
      </c>
      <c r="L311" s="34" t="s">
        <v>142</v>
      </c>
      <c r="M311" s="34" t="s">
        <v>2035</v>
      </c>
      <c r="N311" s="422" t="s">
        <v>2036</v>
      </c>
      <c r="O311" s="30" t="s">
        <v>2037</v>
      </c>
      <c r="P311" s="34"/>
      <c r="Q311" s="35"/>
    </row>
    <row r="312" spans="2:17" ht="20.100000000000001" customHeight="1">
      <c r="B312" s="178" t="s">
        <v>30</v>
      </c>
      <c r="C312" s="134">
        <v>45999</v>
      </c>
      <c r="D312" s="134">
        <v>46010</v>
      </c>
      <c r="E312" s="177"/>
      <c r="F312" s="179" t="s">
        <v>37</v>
      </c>
      <c r="G312" s="126" t="s">
        <v>2061</v>
      </c>
      <c r="H312" s="126">
        <v>10</v>
      </c>
      <c r="I312" s="126" t="s">
        <v>104</v>
      </c>
      <c r="J312" s="126" t="s">
        <v>72</v>
      </c>
      <c r="K312" s="126" t="s">
        <v>267</v>
      </c>
      <c r="L312" s="126" t="s">
        <v>142</v>
      </c>
      <c r="M312" s="126" t="s">
        <v>2062</v>
      </c>
      <c r="N312" s="427" t="s">
        <v>2063</v>
      </c>
      <c r="O312" s="126" t="s">
        <v>2064</v>
      </c>
      <c r="P312" s="126"/>
      <c r="Q312" s="172" t="s">
        <v>2065</v>
      </c>
    </row>
    <row r="313" spans="2:17" ht="20.100000000000001" customHeight="1">
      <c r="B313" s="51" t="s">
        <v>30</v>
      </c>
      <c r="C313" s="32">
        <v>46000</v>
      </c>
      <c r="D313" s="32">
        <v>46002</v>
      </c>
      <c r="E313" s="27"/>
      <c r="F313" s="98" t="s">
        <v>103</v>
      </c>
      <c r="G313" s="34" t="s">
        <v>2030</v>
      </c>
      <c r="H313" s="34">
        <v>30</v>
      </c>
      <c r="I313" s="34" t="s">
        <v>429</v>
      </c>
      <c r="J313" s="34" t="s">
        <v>78</v>
      </c>
      <c r="K313" s="34" t="s">
        <v>2034</v>
      </c>
      <c r="L313" s="34" t="s">
        <v>142</v>
      </c>
      <c r="M313" s="34" t="s">
        <v>2031</v>
      </c>
      <c r="N313" s="422" t="s">
        <v>2032</v>
      </c>
      <c r="O313" s="31" t="s">
        <v>2033</v>
      </c>
      <c r="P313" s="34"/>
      <c r="Q313" s="35"/>
    </row>
    <row r="314" spans="2:17" ht="20.100000000000001" customHeight="1">
      <c r="B314" s="51" t="s">
        <v>30</v>
      </c>
      <c r="C314" s="32">
        <v>46003</v>
      </c>
      <c r="D314" s="32">
        <v>46003</v>
      </c>
      <c r="E314" s="27"/>
      <c r="F314" s="98" t="s">
        <v>103</v>
      </c>
      <c r="G314" s="34" t="s">
        <v>2038</v>
      </c>
      <c r="H314" s="34">
        <v>750</v>
      </c>
      <c r="I314" s="34" t="s">
        <v>1175</v>
      </c>
      <c r="J314" s="34" t="s">
        <v>72</v>
      </c>
      <c r="K314" s="34" t="s">
        <v>2039</v>
      </c>
      <c r="L314" s="34" t="s">
        <v>142</v>
      </c>
      <c r="M314" s="34" t="s">
        <v>2040</v>
      </c>
      <c r="N314" s="422" t="s">
        <v>2041</v>
      </c>
      <c r="O314" s="31" t="s">
        <v>2042</v>
      </c>
      <c r="P314" s="34"/>
      <c r="Q314" s="35"/>
    </row>
    <row r="315" spans="2:17" ht="20.100000000000001" customHeight="1">
      <c r="B315" s="182" t="s">
        <v>30</v>
      </c>
      <c r="C315" s="183">
        <v>46006</v>
      </c>
      <c r="D315" s="183">
        <v>46006</v>
      </c>
      <c r="E315" s="184"/>
      <c r="F315" s="185" t="s">
        <v>112</v>
      </c>
      <c r="G315" s="186" t="s">
        <v>1943</v>
      </c>
      <c r="H315" s="186">
        <v>80</v>
      </c>
      <c r="I315" s="186" t="s">
        <v>226</v>
      </c>
      <c r="J315" s="186" t="s">
        <v>78</v>
      </c>
      <c r="K315" s="186" t="s">
        <v>2043</v>
      </c>
      <c r="L315" s="186" t="s">
        <v>142</v>
      </c>
      <c r="M315" s="186" t="s">
        <v>2044</v>
      </c>
      <c r="N315" s="432" t="s">
        <v>2045</v>
      </c>
      <c r="O315" s="186" t="s">
        <v>2046</v>
      </c>
      <c r="P315" s="186"/>
      <c r="Q315" s="187"/>
    </row>
    <row r="316" spans="2:17" ht="20.100000000000001" customHeight="1">
      <c r="B316" s="51" t="s">
        <v>30</v>
      </c>
      <c r="C316" s="32">
        <v>46007</v>
      </c>
      <c r="D316" s="32">
        <v>46007</v>
      </c>
      <c r="E316" s="27"/>
      <c r="F316" s="98" t="s">
        <v>103</v>
      </c>
      <c r="G316" s="34" t="s">
        <v>2047</v>
      </c>
      <c r="H316" s="34" t="s">
        <v>81</v>
      </c>
      <c r="I316" s="34" t="s">
        <v>1366</v>
      </c>
      <c r="J316" s="34" t="s">
        <v>72</v>
      </c>
      <c r="K316" s="34" t="s">
        <v>2048</v>
      </c>
      <c r="L316" s="34" t="s">
        <v>142</v>
      </c>
      <c r="M316" s="34" t="s">
        <v>2049</v>
      </c>
      <c r="N316" s="422" t="s">
        <v>2050</v>
      </c>
      <c r="O316" s="31" t="s">
        <v>2051</v>
      </c>
      <c r="P316" s="34"/>
      <c r="Q316" s="35"/>
    </row>
    <row r="317" spans="2:17" ht="20.100000000000001" customHeight="1">
      <c r="B317" s="51" t="s">
        <v>30</v>
      </c>
      <c r="C317" s="32">
        <v>46008</v>
      </c>
      <c r="D317" s="32">
        <v>46009</v>
      </c>
      <c r="E317" s="27"/>
      <c r="F317" s="98" t="s">
        <v>103</v>
      </c>
      <c r="G317" s="34" t="s">
        <v>2052</v>
      </c>
      <c r="H317" s="34">
        <v>15</v>
      </c>
      <c r="I317" s="34" t="s">
        <v>2053</v>
      </c>
      <c r="J317" s="34" t="s">
        <v>78</v>
      </c>
      <c r="K317" s="34" t="s">
        <v>267</v>
      </c>
      <c r="L317" s="34" t="s">
        <v>142</v>
      </c>
      <c r="M317" s="34" t="s">
        <v>2054</v>
      </c>
      <c r="N317" s="422" t="s">
        <v>2055</v>
      </c>
      <c r="O317" s="31" t="s">
        <v>2056</v>
      </c>
      <c r="P317" s="34"/>
      <c r="Q317" s="35"/>
    </row>
    <row r="318" spans="2:17" ht="20.100000000000001" customHeight="1">
      <c r="B318" s="161" t="s">
        <v>30</v>
      </c>
      <c r="C318" s="143">
        <v>46009</v>
      </c>
      <c r="D318" s="143">
        <v>46010</v>
      </c>
      <c r="E318" s="151"/>
      <c r="F318" s="162" t="s">
        <v>106</v>
      </c>
      <c r="G318" s="145" t="s">
        <v>2057</v>
      </c>
      <c r="H318" s="145">
        <v>88</v>
      </c>
      <c r="I318" s="145" t="s">
        <v>1914</v>
      </c>
      <c r="J318" s="145" t="s">
        <v>78</v>
      </c>
      <c r="K318" s="145" t="s">
        <v>267</v>
      </c>
      <c r="L318" s="145" t="s">
        <v>142</v>
      </c>
      <c r="M318" s="145" t="s">
        <v>2058</v>
      </c>
      <c r="N318" s="419" t="s">
        <v>2059</v>
      </c>
      <c r="O318" s="155" t="s">
        <v>2060</v>
      </c>
      <c r="P318" s="145"/>
      <c r="Q318" s="152"/>
    </row>
    <row r="319" spans="2:17" ht="20.100000000000001" customHeight="1">
      <c r="B319" s="51" t="s">
        <v>30</v>
      </c>
      <c r="C319" s="32">
        <v>46009</v>
      </c>
      <c r="D319" s="32">
        <v>46013</v>
      </c>
      <c r="E319" s="27"/>
      <c r="F319" s="98" t="s">
        <v>103</v>
      </c>
      <c r="G319" s="34" t="s">
        <v>2066</v>
      </c>
      <c r="H319" s="34">
        <v>10</v>
      </c>
      <c r="I319" s="34" t="s">
        <v>114</v>
      </c>
      <c r="J319" s="34" t="s">
        <v>78</v>
      </c>
      <c r="K319" s="34" t="s">
        <v>2067</v>
      </c>
      <c r="L319" s="34" t="s">
        <v>142</v>
      </c>
      <c r="M319" s="34" t="s">
        <v>2068</v>
      </c>
      <c r="N319" s="422" t="s">
        <v>2069</v>
      </c>
      <c r="O319" s="31"/>
      <c r="P319" s="34"/>
      <c r="Q319" s="35"/>
    </row>
    <row r="320" spans="2:17" ht="20.100000000000001" customHeight="1">
      <c r="B320" s="51" t="s">
        <v>30</v>
      </c>
      <c r="C320" s="32">
        <v>46010</v>
      </c>
      <c r="D320" s="32">
        <v>46013</v>
      </c>
      <c r="E320" s="27"/>
      <c r="F320" s="98" t="s">
        <v>103</v>
      </c>
      <c r="G320" s="34" t="s">
        <v>2070</v>
      </c>
      <c r="H320" s="34">
        <v>50</v>
      </c>
      <c r="I320" s="34" t="s">
        <v>1572</v>
      </c>
      <c r="J320" s="34" t="s">
        <v>78</v>
      </c>
      <c r="K320" s="34" t="s">
        <v>2071</v>
      </c>
      <c r="L320" s="34" t="s">
        <v>142</v>
      </c>
      <c r="M320" s="34" t="s">
        <v>2072</v>
      </c>
      <c r="N320" s="422" t="s">
        <v>2073</v>
      </c>
      <c r="O320" s="31" t="s">
        <v>2074</v>
      </c>
      <c r="P320" s="34"/>
      <c r="Q320" s="35"/>
    </row>
    <row r="321" spans="2:17" ht="20.100000000000001" customHeight="1">
      <c r="B321" s="161" t="s">
        <v>30</v>
      </c>
      <c r="C321" s="143">
        <v>46010</v>
      </c>
      <c r="D321" s="143">
        <v>46013</v>
      </c>
      <c r="E321" s="151"/>
      <c r="F321" s="162" t="s">
        <v>106</v>
      </c>
      <c r="G321" s="145" t="s">
        <v>2075</v>
      </c>
      <c r="H321" s="145">
        <v>50</v>
      </c>
      <c r="I321" s="145" t="s">
        <v>1888</v>
      </c>
      <c r="J321" s="145" t="s">
        <v>72</v>
      </c>
      <c r="K321" s="145" t="s">
        <v>2079</v>
      </c>
      <c r="L321" s="145" t="s">
        <v>142</v>
      </c>
      <c r="M321" s="145" t="s">
        <v>2076</v>
      </c>
      <c r="N321" s="419" t="s">
        <v>2077</v>
      </c>
      <c r="O321" s="155" t="s">
        <v>2078</v>
      </c>
      <c r="P321" s="145"/>
      <c r="Q321" s="152"/>
    </row>
    <row r="322" spans="2:17" ht="20.100000000000001" customHeight="1">
      <c r="B322" s="51" t="s">
        <v>30</v>
      </c>
      <c r="C322" s="32">
        <v>46010</v>
      </c>
      <c r="D322" s="32">
        <v>46013</v>
      </c>
      <c r="E322" s="27"/>
      <c r="F322" s="98" t="s">
        <v>103</v>
      </c>
      <c r="G322" s="34" t="s">
        <v>2080</v>
      </c>
      <c r="H322" s="34">
        <v>12</v>
      </c>
      <c r="I322" s="34" t="s">
        <v>2081</v>
      </c>
      <c r="J322" s="34" t="s">
        <v>78</v>
      </c>
      <c r="K322" s="34" t="s">
        <v>2082</v>
      </c>
      <c r="L322" s="34" t="s">
        <v>142</v>
      </c>
      <c r="M322" s="34" t="s">
        <v>2083</v>
      </c>
      <c r="N322" s="422" t="s">
        <v>2084</v>
      </c>
      <c r="O322" s="31" t="s">
        <v>2085</v>
      </c>
      <c r="P322" s="34"/>
      <c r="Q322" s="35"/>
    </row>
    <row r="323" spans="2:17" ht="20.100000000000001" customHeight="1">
      <c r="B323" s="51" t="s">
        <v>30</v>
      </c>
      <c r="C323" s="32">
        <v>46013</v>
      </c>
      <c r="D323" s="32">
        <v>46013</v>
      </c>
      <c r="E323" s="27"/>
      <c r="F323" s="98" t="s">
        <v>103</v>
      </c>
      <c r="G323" s="34" t="s">
        <v>2086</v>
      </c>
      <c r="H323" s="34">
        <v>80</v>
      </c>
      <c r="I323" s="34" t="s">
        <v>114</v>
      </c>
      <c r="J323" s="34" t="s">
        <v>78</v>
      </c>
      <c r="K323" s="34" t="s">
        <v>2087</v>
      </c>
      <c r="L323" s="34" t="s">
        <v>142</v>
      </c>
      <c r="M323" s="34" t="s">
        <v>2088</v>
      </c>
      <c r="N323" s="422" t="s">
        <v>2089</v>
      </c>
      <c r="O323" s="31"/>
      <c r="P323" s="34"/>
      <c r="Q323" s="35"/>
    </row>
    <row r="324" spans="2:17" ht="20.100000000000001" customHeight="1">
      <c r="B324" s="51" t="s">
        <v>30</v>
      </c>
      <c r="C324" s="32">
        <v>46013</v>
      </c>
      <c r="D324" s="32">
        <v>46013</v>
      </c>
      <c r="E324" s="27"/>
      <c r="F324" s="98" t="s">
        <v>103</v>
      </c>
      <c r="G324" s="34" t="s">
        <v>2090</v>
      </c>
      <c r="H324" s="34">
        <v>13</v>
      </c>
      <c r="I324" s="34" t="s">
        <v>2091</v>
      </c>
      <c r="J324" s="34" t="s">
        <v>78</v>
      </c>
      <c r="K324" s="34" t="s">
        <v>2092</v>
      </c>
      <c r="L324" s="34" t="s">
        <v>142</v>
      </c>
      <c r="M324" s="34" t="s">
        <v>2093</v>
      </c>
      <c r="N324" s="422" t="s">
        <v>2094</v>
      </c>
      <c r="O324" s="31" t="s">
        <v>2095</v>
      </c>
      <c r="P324" s="34"/>
      <c r="Q324" s="35"/>
    </row>
    <row r="325" spans="2:17" ht="20.100000000000001" customHeight="1">
      <c r="B325" s="51" t="s">
        <v>30</v>
      </c>
      <c r="C325" s="32">
        <v>46013</v>
      </c>
      <c r="D325" s="32">
        <v>46013</v>
      </c>
      <c r="E325" s="27"/>
      <c r="F325" s="98" t="s">
        <v>103</v>
      </c>
      <c r="G325" s="34" t="s">
        <v>2096</v>
      </c>
      <c r="H325" s="34">
        <v>300</v>
      </c>
      <c r="I325" s="34" t="s">
        <v>2053</v>
      </c>
      <c r="J325" s="34" t="s">
        <v>78</v>
      </c>
      <c r="K325" s="34" t="s">
        <v>267</v>
      </c>
      <c r="L325" s="34" t="s">
        <v>142</v>
      </c>
      <c r="M325" s="34" t="s">
        <v>2097</v>
      </c>
      <c r="N325" s="422"/>
      <c r="O325" s="31" t="s">
        <v>2098</v>
      </c>
      <c r="P325" s="34"/>
      <c r="Q325" s="35"/>
    </row>
    <row r="326" spans="2:17" ht="20.100000000000001" customHeight="1">
      <c r="B326" s="51" t="s">
        <v>30</v>
      </c>
      <c r="C326" s="32">
        <v>46013</v>
      </c>
      <c r="D326" s="32">
        <v>46020</v>
      </c>
      <c r="E326" s="27"/>
      <c r="F326" s="98" t="s">
        <v>103</v>
      </c>
      <c r="G326" s="34" t="s">
        <v>2099</v>
      </c>
      <c r="H326" s="34">
        <v>18</v>
      </c>
      <c r="I326" s="34" t="s">
        <v>255</v>
      </c>
      <c r="J326" s="34" t="s">
        <v>78</v>
      </c>
      <c r="K326" s="34" t="s">
        <v>2100</v>
      </c>
      <c r="L326" s="34" t="s">
        <v>142</v>
      </c>
      <c r="M326" s="34" t="s">
        <v>1172</v>
      </c>
      <c r="N326" s="422" t="s">
        <v>1173</v>
      </c>
      <c r="O326" s="31" t="s">
        <v>2101</v>
      </c>
      <c r="P326" s="34"/>
      <c r="Q326" s="35"/>
    </row>
    <row r="327" spans="2:17" ht="20.100000000000001" customHeight="1">
      <c r="B327" s="51" t="s">
        <v>30</v>
      </c>
      <c r="C327" s="32">
        <v>46014</v>
      </c>
      <c r="D327" s="32">
        <v>46015</v>
      </c>
      <c r="E327" s="27"/>
      <c r="F327" s="98" t="s">
        <v>103</v>
      </c>
      <c r="G327" s="34" t="s">
        <v>2102</v>
      </c>
      <c r="H327" s="34">
        <v>13</v>
      </c>
      <c r="I327" s="34" t="s">
        <v>186</v>
      </c>
      <c r="J327" s="34" t="s">
        <v>78</v>
      </c>
      <c r="K327" s="34" t="s">
        <v>2103</v>
      </c>
      <c r="L327" s="34" t="s">
        <v>142</v>
      </c>
      <c r="M327" s="34" t="s">
        <v>2104</v>
      </c>
      <c r="N327" s="422" t="s">
        <v>2105</v>
      </c>
      <c r="O327" s="31" t="s">
        <v>2106</v>
      </c>
      <c r="P327" s="34"/>
      <c r="Q327" s="35"/>
    </row>
    <row r="328" spans="2:17" ht="20.100000000000001" customHeight="1">
      <c r="B328" s="161" t="s">
        <v>30</v>
      </c>
      <c r="C328" s="143">
        <v>46014</v>
      </c>
      <c r="D328" s="143">
        <v>46020</v>
      </c>
      <c r="E328" s="151"/>
      <c r="F328" s="162" t="s">
        <v>106</v>
      </c>
      <c r="G328" s="145" t="s">
        <v>2107</v>
      </c>
      <c r="H328" s="145">
        <v>11</v>
      </c>
      <c r="I328" s="145" t="s">
        <v>2081</v>
      </c>
      <c r="J328" s="145" t="s">
        <v>78</v>
      </c>
      <c r="K328" s="145" t="s">
        <v>2108</v>
      </c>
      <c r="L328" s="145" t="s">
        <v>142</v>
      </c>
      <c r="M328" s="145" t="s">
        <v>2109</v>
      </c>
      <c r="N328" s="419" t="s">
        <v>2110</v>
      </c>
      <c r="O328" s="155" t="s">
        <v>2111</v>
      </c>
      <c r="P328" s="145"/>
      <c r="Q328" s="152"/>
    </row>
    <row r="329" spans="2:17" ht="20.100000000000001" customHeight="1">
      <c r="B329" s="51" t="s">
        <v>30</v>
      </c>
      <c r="C329" s="32">
        <v>46015</v>
      </c>
      <c r="D329" s="32">
        <v>46020</v>
      </c>
      <c r="E329" s="27"/>
      <c r="F329" s="98" t="s">
        <v>103</v>
      </c>
      <c r="G329" s="34" t="s">
        <v>2117</v>
      </c>
      <c r="H329" s="34" t="s">
        <v>81</v>
      </c>
      <c r="I329" s="34" t="s">
        <v>1253</v>
      </c>
      <c r="J329" s="34" t="s">
        <v>724</v>
      </c>
      <c r="K329" s="34" t="s">
        <v>267</v>
      </c>
      <c r="L329" s="34" t="s">
        <v>142</v>
      </c>
      <c r="M329" s="34" t="s">
        <v>2114</v>
      </c>
      <c r="N329" s="422" t="s">
        <v>2118</v>
      </c>
      <c r="O329" s="368"/>
      <c r="P329" s="34"/>
      <c r="Q329" s="35"/>
    </row>
    <row r="330" spans="2:17" ht="20.100000000000001" customHeight="1">
      <c r="B330" s="51" t="s">
        <v>30</v>
      </c>
      <c r="C330" s="32">
        <v>46020</v>
      </c>
      <c r="D330" s="32">
        <v>46020</v>
      </c>
      <c r="E330" s="27"/>
      <c r="F330" s="98" t="s">
        <v>103</v>
      </c>
      <c r="G330" s="34" t="s">
        <v>2112</v>
      </c>
      <c r="H330" s="34">
        <v>6</v>
      </c>
      <c r="I330" s="34" t="s">
        <v>305</v>
      </c>
      <c r="J330" s="34" t="s">
        <v>78</v>
      </c>
      <c r="K330" s="34" t="s">
        <v>2113</v>
      </c>
      <c r="L330" s="34" t="s">
        <v>142</v>
      </c>
      <c r="M330" s="34" t="s">
        <v>2114</v>
      </c>
      <c r="N330" s="422" t="s">
        <v>2115</v>
      </c>
      <c r="O330" s="31" t="s">
        <v>2116</v>
      </c>
      <c r="P330" s="34"/>
      <c r="Q330" s="35"/>
    </row>
    <row r="331" spans="2:17" ht="20.100000000000001" customHeight="1">
      <c r="B331" s="161" t="s">
        <v>30</v>
      </c>
      <c r="C331" s="143">
        <v>46017</v>
      </c>
      <c r="D331" s="143">
        <v>46020</v>
      </c>
      <c r="E331" s="151"/>
      <c r="F331" s="162" t="s">
        <v>106</v>
      </c>
      <c r="G331" s="145" t="s">
        <v>2119</v>
      </c>
      <c r="H331" s="145">
        <v>4</v>
      </c>
      <c r="I331" s="145" t="s">
        <v>273</v>
      </c>
      <c r="J331" s="145" t="s">
        <v>78</v>
      </c>
      <c r="K331" s="145" t="s">
        <v>2120</v>
      </c>
      <c r="L331" s="145" t="s">
        <v>142</v>
      </c>
      <c r="M331" s="145" t="s">
        <v>2121</v>
      </c>
      <c r="N331" s="419" t="s">
        <v>2122</v>
      </c>
      <c r="O331" s="155" t="s">
        <v>2123</v>
      </c>
      <c r="P331" s="145"/>
      <c r="Q331" s="152"/>
    </row>
    <row r="332" spans="2:17" ht="20.100000000000001" customHeight="1">
      <c r="B332" s="161" t="s">
        <v>30</v>
      </c>
      <c r="C332" s="143">
        <v>46020</v>
      </c>
      <c r="D332" s="143">
        <v>46020</v>
      </c>
      <c r="E332" s="151"/>
      <c r="F332" s="162" t="s">
        <v>106</v>
      </c>
      <c r="G332" s="145" t="s">
        <v>2124</v>
      </c>
      <c r="H332" s="145">
        <v>25</v>
      </c>
      <c r="I332" s="145" t="s">
        <v>821</v>
      </c>
      <c r="J332" s="145" t="s">
        <v>78</v>
      </c>
      <c r="K332" s="145" t="s">
        <v>2128</v>
      </c>
      <c r="L332" s="145" t="s">
        <v>142</v>
      </c>
      <c r="M332" s="145" t="s">
        <v>2126</v>
      </c>
      <c r="N332" s="419" t="s">
        <v>2127</v>
      </c>
      <c r="O332" s="155" t="s">
        <v>2125</v>
      </c>
      <c r="P332" s="145"/>
      <c r="Q332" s="152"/>
    </row>
    <row r="333" spans="2:17" ht="20.100000000000001" customHeight="1">
      <c r="B333" s="51" t="s">
        <v>30</v>
      </c>
      <c r="C333" s="32">
        <v>46020</v>
      </c>
      <c r="D333" s="32">
        <v>46020</v>
      </c>
      <c r="E333" s="27"/>
      <c r="F333" s="98" t="s">
        <v>103</v>
      </c>
      <c r="G333" s="34" t="s">
        <v>2129</v>
      </c>
      <c r="H333" s="34">
        <v>10</v>
      </c>
      <c r="I333" s="34" t="s">
        <v>114</v>
      </c>
      <c r="J333" s="34" t="s">
        <v>78</v>
      </c>
      <c r="K333" s="34" t="s">
        <v>267</v>
      </c>
      <c r="L333" s="34" t="s">
        <v>142</v>
      </c>
      <c r="M333" s="34" t="s">
        <v>2130</v>
      </c>
      <c r="N333" s="422" t="s">
        <v>2131</v>
      </c>
      <c r="O333" s="31" t="s">
        <v>2132</v>
      </c>
      <c r="P333" s="34"/>
      <c r="Q333" s="35"/>
    </row>
    <row r="334" spans="2:17" ht="20.100000000000001" customHeight="1">
      <c r="B334" s="51" t="s">
        <v>30</v>
      </c>
      <c r="C334" s="32">
        <v>46021</v>
      </c>
      <c r="D334" s="32">
        <v>46024</v>
      </c>
      <c r="E334" s="27"/>
      <c r="F334" s="98" t="s">
        <v>103</v>
      </c>
      <c r="G334" s="34" t="s">
        <v>2133</v>
      </c>
      <c r="H334" s="34">
        <v>8</v>
      </c>
      <c r="I334" s="34" t="s">
        <v>114</v>
      </c>
      <c r="J334" s="34" t="s">
        <v>72</v>
      </c>
      <c r="K334" s="34" t="s">
        <v>267</v>
      </c>
      <c r="L334" s="34" t="s">
        <v>142</v>
      </c>
      <c r="M334" s="34" t="s">
        <v>2197</v>
      </c>
      <c r="N334" s="422" t="s">
        <v>2198</v>
      </c>
      <c r="O334" s="377" t="s">
        <v>2199</v>
      </c>
      <c r="P334" s="34"/>
      <c r="Q334" s="35"/>
    </row>
    <row r="335" spans="2:17" s="388" customFormat="1" ht="20.100000000000001" customHeight="1" thickBot="1">
      <c r="B335" s="470" t="s">
        <v>30</v>
      </c>
      <c r="C335" s="442">
        <v>46021</v>
      </c>
      <c r="D335" s="442">
        <v>46027</v>
      </c>
      <c r="E335" s="441"/>
      <c r="F335" s="443" t="s">
        <v>103</v>
      </c>
      <c r="G335" s="444" t="s">
        <v>2134</v>
      </c>
      <c r="H335" s="444">
        <v>20</v>
      </c>
      <c r="I335" s="444" t="s">
        <v>186</v>
      </c>
      <c r="J335" s="444" t="s">
        <v>72</v>
      </c>
      <c r="K335" s="444" t="s">
        <v>267</v>
      </c>
      <c r="L335" s="444" t="s">
        <v>142</v>
      </c>
      <c r="M335" s="444" t="s">
        <v>2200</v>
      </c>
      <c r="N335" s="445" t="s">
        <v>2201</v>
      </c>
      <c r="O335" s="471" t="s">
        <v>2202</v>
      </c>
      <c r="P335" s="444"/>
      <c r="Q335" s="447"/>
    </row>
    <row r="336" spans="2:17" s="478" customFormat="1" ht="20.100000000000001" customHeight="1" thickTop="1" thickBot="1">
      <c r="B336" s="389" t="s">
        <v>30</v>
      </c>
      <c r="C336" s="472">
        <v>46386</v>
      </c>
      <c r="D336" s="472">
        <v>46024</v>
      </c>
      <c r="E336" s="389"/>
      <c r="F336" s="473" t="s">
        <v>106</v>
      </c>
      <c r="G336" s="474" t="s">
        <v>2186</v>
      </c>
      <c r="H336" s="474">
        <v>2</v>
      </c>
      <c r="I336" s="474" t="s">
        <v>821</v>
      </c>
      <c r="J336" s="474" t="s">
        <v>78</v>
      </c>
      <c r="K336" s="474" t="s">
        <v>267</v>
      </c>
      <c r="L336" s="474" t="s">
        <v>142</v>
      </c>
      <c r="M336" s="474" t="s">
        <v>2203</v>
      </c>
      <c r="N336" s="475" t="s">
        <v>2204</v>
      </c>
      <c r="O336" s="476" t="s">
        <v>2205</v>
      </c>
      <c r="P336" s="474"/>
      <c r="Q336" s="477"/>
    </row>
    <row r="337" spans="2:17" s="48" customFormat="1" ht="20.100000000000001" customHeight="1" thickTop="1">
      <c r="B337" s="161" t="s">
        <v>22</v>
      </c>
      <c r="C337" s="143">
        <v>46026</v>
      </c>
      <c r="D337" s="143">
        <v>46027</v>
      </c>
      <c r="E337" s="151"/>
      <c r="F337" s="162" t="s">
        <v>106</v>
      </c>
      <c r="G337" s="145" t="s">
        <v>2206</v>
      </c>
      <c r="H337" s="145">
        <v>5</v>
      </c>
      <c r="I337" s="145" t="s">
        <v>448</v>
      </c>
      <c r="J337" s="145" t="s">
        <v>78</v>
      </c>
      <c r="K337" s="145" t="s">
        <v>2207</v>
      </c>
      <c r="L337" s="145" t="s">
        <v>142</v>
      </c>
      <c r="M337" s="145" t="s">
        <v>2208</v>
      </c>
      <c r="N337" s="419" t="s">
        <v>2209</v>
      </c>
      <c r="O337" s="365" t="s">
        <v>2210</v>
      </c>
      <c r="P337" s="145"/>
      <c r="Q337" s="152"/>
    </row>
    <row r="338" spans="2:17" ht="20.100000000000001" customHeight="1">
      <c r="B338" s="161" t="s">
        <v>22</v>
      </c>
      <c r="C338" s="143">
        <v>46027</v>
      </c>
      <c r="D338" s="143">
        <v>46028</v>
      </c>
      <c r="E338" s="151"/>
      <c r="F338" s="162" t="s">
        <v>106</v>
      </c>
      <c r="G338" s="145" t="s">
        <v>2211</v>
      </c>
      <c r="H338" s="145">
        <v>8</v>
      </c>
      <c r="I338" s="145" t="s">
        <v>637</v>
      </c>
      <c r="J338" s="145" t="s">
        <v>72</v>
      </c>
      <c r="K338" s="145" t="s">
        <v>2212</v>
      </c>
      <c r="L338" s="145" t="s">
        <v>142</v>
      </c>
      <c r="M338" s="145" t="s">
        <v>2213</v>
      </c>
      <c r="N338" s="419" t="s">
        <v>2214</v>
      </c>
      <c r="O338" s="365" t="s">
        <v>2215</v>
      </c>
      <c r="P338" s="145"/>
      <c r="Q338" s="152"/>
    </row>
    <row r="339" spans="2:17" ht="20.100000000000001" customHeight="1">
      <c r="B339" s="161" t="s">
        <v>22</v>
      </c>
      <c r="C339" s="143">
        <v>46027</v>
      </c>
      <c r="D339" s="143">
        <v>46027</v>
      </c>
      <c r="E339" s="151"/>
      <c r="F339" s="162" t="s">
        <v>106</v>
      </c>
      <c r="G339" s="145" t="s">
        <v>2189</v>
      </c>
      <c r="H339" s="145">
        <v>33</v>
      </c>
      <c r="I339" s="145" t="s">
        <v>114</v>
      </c>
      <c r="J339" s="145" t="s">
        <v>78</v>
      </c>
      <c r="K339" s="145" t="s">
        <v>2216</v>
      </c>
      <c r="L339" s="145" t="s">
        <v>142</v>
      </c>
      <c r="M339" s="145" t="s">
        <v>2217</v>
      </c>
      <c r="N339" s="419" t="s">
        <v>2218</v>
      </c>
      <c r="O339" s="365" t="s">
        <v>2219</v>
      </c>
      <c r="P339" s="145"/>
      <c r="Q339" s="152"/>
    </row>
    <row r="340" spans="2:17" ht="20.100000000000001" customHeight="1">
      <c r="B340" s="51" t="s">
        <v>22</v>
      </c>
      <c r="C340" s="390">
        <v>46027</v>
      </c>
      <c r="D340" s="390">
        <v>46028</v>
      </c>
      <c r="E340" s="51"/>
      <c r="F340" s="391" t="s">
        <v>103</v>
      </c>
      <c r="G340" s="392" t="s">
        <v>2220</v>
      </c>
      <c r="H340" s="392">
        <v>10</v>
      </c>
      <c r="I340" s="392" t="s">
        <v>114</v>
      </c>
      <c r="J340" s="392" t="s">
        <v>72</v>
      </c>
      <c r="K340" s="392" t="s">
        <v>2221</v>
      </c>
      <c r="L340" s="392" t="s">
        <v>142</v>
      </c>
      <c r="M340" s="392" t="s">
        <v>2222</v>
      </c>
      <c r="N340" s="433" t="s">
        <v>2223</v>
      </c>
      <c r="O340" s="31" t="s">
        <v>2224</v>
      </c>
      <c r="P340" s="392"/>
      <c r="Q340" s="393"/>
    </row>
    <row r="341" spans="2:17" ht="20.100000000000001" customHeight="1">
      <c r="B341" s="161" t="s">
        <v>22</v>
      </c>
      <c r="C341" s="143">
        <v>46027</v>
      </c>
      <c r="D341" s="143">
        <v>46028</v>
      </c>
      <c r="E341" s="151"/>
      <c r="F341" s="142" t="s">
        <v>106</v>
      </c>
      <c r="G341" s="145" t="s">
        <v>2225</v>
      </c>
      <c r="H341" s="145">
        <v>7</v>
      </c>
      <c r="I341" s="145" t="s">
        <v>114</v>
      </c>
      <c r="J341" s="145" t="s">
        <v>72</v>
      </c>
      <c r="K341" s="145" t="s">
        <v>2226</v>
      </c>
      <c r="L341" s="145" t="s">
        <v>142</v>
      </c>
      <c r="M341" s="145" t="s">
        <v>2227</v>
      </c>
      <c r="N341" s="419" t="s">
        <v>2228</v>
      </c>
      <c r="O341" s="365" t="s">
        <v>2229</v>
      </c>
      <c r="P341" s="145"/>
      <c r="Q341" s="152"/>
    </row>
    <row r="342" spans="2:17" ht="20.100000000000001" customHeight="1">
      <c r="B342" s="51" t="s">
        <v>22</v>
      </c>
      <c r="C342" s="32">
        <v>46027</v>
      </c>
      <c r="D342" s="32">
        <v>46028</v>
      </c>
      <c r="E342" s="27"/>
      <c r="F342" s="98" t="s">
        <v>103</v>
      </c>
      <c r="G342" s="34" t="s">
        <v>2230</v>
      </c>
      <c r="H342" s="34">
        <v>5</v>
      </c>
      <c r="I342" s="34" t="s">
        <v>2231</v>
      </c>
      <c r="J342" s="34" t="s">
        <v>78</v>
      </c>
      <c r="K342" s="34" t="s">
        <v>267</v>
      </c>
      <c r="L342" s="392" t="s">
        <v>142</v>
      </c>
      <c r="M342" s="34" t="s">
        <v>2232</v>
      </c>
      <c r="N342" s="422" t="s">
        <v>2233</v>
      </c>
      <c r="O342" s="31" t="s">
        <v>2234</v>
      </c>
      <c r="P342" s="34"/>
      <c r="Q342" s="35"/>
    </row>
    <row r="343" spans="2:17" ht="20.100000000000001" customHeight="1">
      <c r="B343" s="51" t="s">
        <v>22</v>
      </c>
      <c r="C343" s="32">
        <v>46028</v>
      </c>
      <c r="D343" s="32">
        <v>46030</v>
      </c>
      <c r="E343" s="27"/>
      <c r="F343" s="98" t="s">
        <v>103</v>
      </c>
      <c r="G343" s="34" t="s">
        <v>2394</v>
      </c>
      <c r="H343" s="34">
        <v>40</v>
      </c>
      <c r="I343" s="34" t="s">
        <v>186</v>
      </c>
      <c r="J343" s="34" t="s">
        <v>72</v>
      </c>
      <c r="K343" s="34" t="s">
        <v>2278</v>
      </c>
      <c r="L343" s="392" t="s">
        <v>142</v>
      </c>
      <c r="M343" s="34" t="s">
        <v>2344</v>
      </c>
      <c r="N343" s="422" t="s">
        <v>2281</v>
      </c>
      <c r="O343" s="31" t="s">
        <v>2345</v>
      </c>
      <c r="P343" s="34"/>
      <c r="Q343" s="35"/>
    </row>
    <row r="344" spans="2:17" ht="20.100000000000001" customHeight="1">
      <c r="B344" s="182" t="s">
        <v>22</v>
      </c>
      <c r="C344" s="183">
        <v>46029</v>
      </c>
      <c r="D344" s="183">
        <v>46030</v>
      </c>
      <c r="E344" s="184"/>
      <c r="F344" s="185" t="s">
        <v>112</v>
      </c>
      <c r="G344" s="186" t="s">
        <v>2279</v>
      </c>
      <c r="H344" s="186">
        <v>20</v>
      </c>
      <c r="I344" s="186" t="s">
        <v>289</v>
      </c>
      <c r="J344" s="186" t="s">
        <v>72</v>
      </c>
      <c r="K344" s="186" t="s">
        <v>2280</v>
      </c>
      <c r="L344" s="186" t="s">
        <v>142</v>
      </c>
      <c r="M344" s="186" t="s">
        <v>2346</v>
      </c>
      <c r="N344" s="432" t="s">
        <v>2282</v>
      </c>
      <c r="O344" s="186" t="s">
        <v>2347</v>
      </c>
      <c r="P344" s="186"/>
      <c r="Q344" s="187"/>
    </row>
    <row r="345" spans="2:17" ht="20.100000000000001" customHeight="1">
      <c r="B345" s="161" t="s">
        <v>22</v>
      </c>
      <c r="C345" s="143">
        <v>46029</v>
      </c>
      <c r="D345" s="143">
        <v>46030</v>
      </c>
      <c r="E345" s="151"/>
      <c r="F345" s="162" t="s">
        <v>106</v>
      </c>
      <c r="G345" s="145" t="s">
        <v>2275</v>
      </c>
      <c r="H345" s="145">
        <v>20</v>
      </c>
      <c r="I345" s="145" t="s">
        <v>114</v>
      </c>
      <c r="J345" s="145" t="s">
        <v>78</v>
      </c>
      <c r="K345" s="145" t="s">
        <v>2285</v>
      </c>
      <c r="L345" s="145" t="s">
        <v>142</v>
      </c>
      <c r="M345" s="145" t="s">
        <v>2283</v>
      </c>
      <c r="N345" s="419">
        <v>1037834878</v>
      </c>
      <c r="O345" s="365" t="s">
        <v>2284</v>
      </c>
      <c r="P345" s="145"/>
      <c r="Q345" s="152"/>
    </row>
    <row r="346" spans="2:17" ht="20.100000000000001" customHeight="1">
      <c r="B346" s="51" t="s">
        <v>22</v>
      </c>
      <c r="C346" s="32">
        <v>46030</v>
      </c>
      <c r="D346" s="32">
        <v>46030</v>
      </c>
      <c r="E346" s="27"/>
      <c r="F346" s="98" t="s">
        <v>103</v>
      </c>
      <c r="G346" s="34" t="s">
        <v>2286</v>
      </c>
      <c r="H346" s="34">
        <v>40</v>
      </c>
      <c r="I346" s="34" t="s">
        <v>186</v>
      </c>
      <c r="J346" s="34" t="s">
        <v>72</v>
      </c>
      <c r="K346" s="34" t="s">
        <v>2278</v>
      </c>
      <c r="L346" s="34" t="s">
        <v>142</v>
      </c>
      <c r="M346" s="34" t="s">
        <v>2348</v>
      </c>
      <c r="N346" s="422">
        <v>1024467770</v>
      </c>
      <c r="O346" s="31" t="s">
        <v>2349</v>
      </c>
      <c r="P346" s="34"/>
      <c r="Q346" s="34" t="s">
        <v>2287</v>
      </c>
    </row>
    <row r="347" spans="2:17" ht="20.100000000000001" customHeight="1">
      <c r="B347" s="161" t="s">
        <v>22</v>
      </c>
      <c r="C347" s="143">
        <v>46031</v>
      </c>
      <c r="D347" s="143">
        <v>46035</v>
      </c>
      <c r="E347" s="151"/>
      <c r="F347" s="162" t="s">
        <v>106</v>
      </c>
      <c r="G347" s="145" t="s">
        <v>2288</v>
      </c>
      <c r="H347" s="145">
        <v>36</v>
      </c>
      <c r="I347" s="145" t="s">
        <v>108</v>
      </c>
      <c r="J347" s="145" t="s">
        <v>78</v>
      </c>
      <c r="K347" s="145" t="s">
        <v>2289</v>
      </c>
      <c r="L347" s="145" t="s">
        <v>142</v>
      </c>
      <c r="M347" s="145" t="s">
        <v>2350</v>
      </c>
      <c r="N347" s="419">
        <v>1067350335</v>
      </c>
      <c r="O347" s="365" t="s">
        <v>2351</v>
      </c>
      <c r="P347" s="145"/>
      <c r="Q347" s="152"/>
    </row>
    <row r="348" spans="2:17" ht="20.100000000000001" customHeight="1">
      <c r="B348" s="51" t="s">
        <v>22</v>
      </c>
      <c r="C348" s="32">
        <v>46031</v>
      </c>
      <c r="D348" s="32">
        <v>46035</v>
      </c>
      <c r="E348" s="27"/>
      <c r="F348" s="98" t="s">
        <v>103</v>
      </c>
      <c r="G348" s="34" t="s">
        <v>2373</v>
      </c>
      <c r="H348" s="34">
        <v>30</v>
      </c>
      <c r="I348" s="34" t="s">
        <v>2291</v>
      </c>
      <c r="J348" s="34" t="s">
        <v>72</v>
      </c>
      <c r="K348" s="34" t="s">
        <v>2292</v>
      </c>
      <c r="L348" s="34" t="s">
        <v>142</v>
      </c>
      <c r="M348" s="34" t="s">
        <v>2352</v>
      </c>
      <c r="N348" s="422">
        <v>1073550337</v>
      </c>
      <c r="O348" s="31" t="s">
        <v>2290</v>
      </c>
      <c r="P348" s="34"/>
      <c r="Q348" s="35"/>
    </row>
    <row r="349" spans="2:17" ht="20.100000000000001" customHeight="1">
      <c r="B349" s="51" t="s">
        <v>22</v>
      </c>
      <c r="C349" s="32">
        <v>46034</v>
      </c>
      <c r="D349" s="32">
        <v>46035</v>
      </c>
      <c r="E349" s="27"/>
      <c r="F349" s="98" t="s">
        <v>103</v>
      </c>
      <c r="G349" s="34" t="s">
        <v>2374</v>
      </c>
      <c r="H349" s="34">
        <v>30</v>
      </c>
      <c r="I349" s="34" t="s">
        <v>226</v>
      </c>
      <c r="J349" s="34" t="s">
        <v>72</v>
      </c>
      <c r="K349" s="34" t="s">
        <v>2292</v>
      </c>
      <c r="L349" s="34" t="s">
        <v>142</v>
      </c>
      <c r="M349" s="34" t="s">
        <v>2353</v>
      </c>
      <c r="N349" s="422" t="s">
        <v>2354</v>
      </c>
      <c r="O349" s="31" t="s">
        <v>2355</v>
      </c>
      <c r="P349" s="35"/>
      <c r="Q349" s="35"/>
    </row>
    <row r="350" spans="2:17" ht="20.100000000000001" customHeight="1">
      <c r="B350" s="51" t="s">
        <v>22</v>
      </c>
      <c r="C350" s="32">
        <v>46034</v>
      </c>
      <c r="D350" s="32">
        <v>46035</v>
      </c>
      <c r="E350" s="27"/>
      <c r="F350" s="98" t="s">
        <v>103</v>
      </c>
      <c r="G350" s="34" t="s">
        <v>2375</v>
      </c>
      <c r="H350" s="34">
        <v>200</v>
      </c>
      <c r="I350" s="34" t="s">
        <v>2294</v>
      </c>
      <c r="J350" s="34" t="s">
        <v>72</v>
      </c>
      <c r="K350" s="34" t="s">
        <v>2295</v>
      </c>
      <c r="L350" s="34" t="s">
        <v>142</v>
      </c>
      <c r="M350" s="34" t="s">
        <v>1685</v>
      </c>
      <c r="N350" s="422" t="s">
        <v>2356</v>
      </c>
      <c r="O350" s="31" t="s">
        <v>2293</v>
      </c>
      <c r="P350" s="34"/>
      <c r="Q350" s="35"/>
    </row>
    <row r="351" spans="2:17" ht="20.100000000000001" customHeight="1">
      <c r="B351" s="51" t="s">
        <v>22</v>
      </c>
      <c r="C351" s="32">
        <v>46034</v>
      </c>
      <c r="D351" s="32">
        <v>46035</v>
      </c>
      <c r="E351" s="27"/>
      <c r="F351" s="98" t="s">
        <v>103</v>
      </c>
      <c r="G351" s="34" t="s">
        <v>2296</v>
      </c>
      <c r="H351" s="34">
        <v>200</v>
      </c>
      <c r="I351" s="34" t="s">
        <v>1572</v>
      </c>
      <c r="J351" s="34" t="s">
        <v>78</v>
      </c>
      <c r="K351" s="34" t="s">
        <v>2297</v>
      </c>
      <c r="L351" s="34" t="s">
        <v>142</v>
      </c>
      <c r="M351" s="34" t="s">
        <v>2298</v>
      </c>
      <c r="N351" s="422" t="s">
        <v>2566</v>
      </c>
      <c r="O351" s="31" t="s">
        <v>2299</v>
      </c>
      <c r="P351" s="34"/>
      <c r="Q351" s="35" t="s">
        <v>2567</v>
      </c>
    </row>
    <row r="352" spans="2:17" ht="20.100000000000001" customHeight="1">
      <c r="B352" s="51" t="s">
        <v>22</v>
      </c>
      <c r="C352" s="32">
        <v>46034</v>
      </c>
      <c r="D352" s="32">
        <v>46036</v>
      </c>
      <c r="E352" s="27"/>
      <c r="F352" s="98" t="s">
        <v>103</v>
      </c>
      <c r="G352" s="34" t="s">
        <v>2376</v>
      </c>
      <c r="H352" s="34">
        <v>30</v>
      </c>
      <c r="I352" s="34" t="s">
        <v>108</v>
      </c>
      <c r="J352" s="34" t="s">
        <v>78</v>
      </c>
      <c r="K352" s="34" t="s">
        <v>2302</v>
      </c>
      <c r="L352" s="34" t="s">
        <v>142</v>
      </c>
      <c r="M352" s="34" t="s">
        <v>2300</v>
      </c>
      <c r="N352" s="422">
        <v>1044550582</v>
      </c>
      <c r="O352" s="31" t="s">
        <v>2301</v>
      </c>
      <c r="P352" s="34"/>
      <c r="Q352" s="35"/>
    </row>
    <row r="353" spans="2:17" ht="20.100000000000001" customHeight="1">
      <c r="B353" s="51" t="s">
        <v>22</v>
      </c>
      <c r="C353" s="32">
        <v>46035</v>
      </c>
      <c r="D353" s="32">
        <v>46035</v>
      </c>
      <c r="E353" s="27"/>
      <c r="F353" s="98" t="s">
        <v>103</v>
      </c>
      <c r="G353" s="34" t="s">
        <v>2303</v>
      </c>
      <c r="H353" s="34">
        <v>236</v>
      </c>
      <c r="I353" s="34" t="s">
        <v>330</v>
      </c>
      <c r="J353" s="34" t="s">
        <v>78</v>
      </c>
      <c r="K353" s="34" t="s">
        <v>267</v>
      </c>
      <c r="L353" s="34" t="s">
        <v>142</v>
      </c>
      <c r="M353" s="34" t="s">
        <v>361</v>
      </c>
      <c r="N353" s="422" t="s">
        <v>2304</v>
      </c>
      <c r="O353" s="31" t="s">
        <v>2357</v>
      </c>
      <c r="P353" s="34"/>
      <c r="Q353" s="35"/>
    </row>
    <row r="354" spans="2:17" ht="20.100000000000001" customHeight="1">
      <c r="B354" s="51" t="s">
        <v>22</v>
      </c>
      <c r="C354" s="32">
        <v>46035</v>
      </c>
      <c r="D354" s="32">
        <v>46036</v>
      </c>
      <c r="E354" s="27"/>
      <c r="F354" s="98" t="s">
        <v>103</v>
      </c>
      <c r="G354" s="34" t="s">
        <v>2377</v>
      </c>
      <c r="H354" s="34">
        <v>10</v>
      </c>
      <c r="I354" s="34" t="s">
        <v>114</v>
      </c>
      <c r="J354" s="34" t="s">
        <v>72</v>
      </c>
      <c r="K354" s="34" t="s">
        <v>2306</v>
      </c>
      <c r="L354" s="34" t="s">
        <v>142</v>
      </c>
      <c r="M354" s="34" t="s">
        <v>2358</v>
      </c>
      <c r="N354" s="422">
        <v>1025732785</v>
      </c>
      <c r="O354" s="31" t="s">
        <v>2305</v>
      </c>
      <c r="P354" s="34"/>
      <c r="Q354" s="35"/>
    </row>
    <row r="355" spans="2:17" ht="20.100000000000001" customHeight="1">
      <c r="B355" s="161" t="s">
        <v>22</v>
      </c>
      <c r="C355" s="143">
        <v>46036</v>
      </c>
      <c r="D355" s="143">
        <v>46036</v>
      </c>
      <c r="E355" s="151"/>
      <c r="F355" s="162" t="s">
        <v>106</v>
      </c>
      <c r="G355" s="145" t="s">
        <v>2307</v>
      </c>
      <c r="H355" s="145">
        <v>30</v>
      </c>
      <c r="I355" s="145" t="s">
        <v>330</v>
      </c>
      <c r="J355" s="145" t="s">
        <v>72</v>
      </c>
      <c r="K355" s="145" t="s">
        <v>2292</v>
      </c>
      <c r="L355" s="145" t="s">
        <v>142</v>
      </c>
      <c r="M355" s="145" t="s">
        <v>2310</v>
      </c>
      <c r="N355" s="419">
        <v>1033787003</v>
      </c>
      <c r="O355" s="145" t="s">
        <v>2308</v>
      </c>
      <c r="P355" s="145"/>
      <c r="Q355" s="152"/>
    </row>
    <row r="356" spans="2:17" ht="20.100000000000001" customHeight="1">
      <c r="B356" s="51" t="s">
        <v>22</v>
      </c>
      <c r="C356" s="32">
        <v>46036</v>
      </c>
      <c r="D356" s="32">
        <v>46036</v>
      </c>
      <c r="E356" s="27"/>
      <c r="F356" s="98" t="s">
        <v>103</v>
      </c>
      <c r="G356" s="34" t="s">
        <v>2378</v>
      </c>
      <c r="H356" s="34">
        <v>10</v>
      </c>
      <c r="I356" s="34" t="s">
        <v>114</v>
      </c>
      <c r="J356" s="34" t="s">
        <v>78</v>
      </c>
      <c r="K356" s="34" t="s">
        <v>2311</v>
      </c>
      <c r="L356" s="34" t="s">
        <v>142</v>
      </c>
      <c r="M356" s="34" t="s">
        <v>2359</v>
      </c>
      <c r="N356" s="422">
        <v>1041300266</v>
      </c>
      <c r="O356" s="31" t="s">
        <v>2309</v>
      </c>
      <c r="P356" s="34"/>
      <c r="Q356" s="35"/>
    </row>
    <row r="357" spans="2:17" ht="20.100000000000001" customHeight="1">
      <c r="B357" s="51" t="s">
        <v>22</v>
      </c>
      <c r="C357" s="32">
        <v>46036</v>
      </c>
      <c r="D357" s="32">
        <v>46036</v>
      </c>
      <c r="E357" s="27"/>
      <c r="F357" s="98" t="s">
        <v>103</v>
      </c>
      <c r="G357" s="34" t="s">
        <v>2379</v>
      </c>
      <c r="H357" s="34">
        <v>10</v>
      </c>
      <c r="I357" s="34" t="s">
        <v>2312</v>
      </c>
      <c r="J357" s="34" t="s">
        <v>78</v>
      </c>
      <c r="K357" s="34" t="s">
        <v>2313</v>
      </c>
      <c r="L357" s="34" t="s">
        <v>142</v>
      </c>
      <c r="M357" s="34" t="s">
        <v>2360</v>
      </c>
      <c r="N357" s="422">
        <v>1085156777</v>
      </c>
      <c r="O357" s="31" t="s">
        <v>2361</v>
      </c>
      <c r="P357" s="34"/>
      <c r="Q357" s="35"/>
    </row>
    <row r="358" spans="2:17" ht="20.100000000000001" customHeight="1">
      <c r="B358" s="161" t="s">
        <v>22</v>
      </c>
      <c r="C358" s="143">
        <v>46036</v>
      </c>
      <c r="D358" s="143">
        <v>46037</v>
      </c>
      <c r="E358" s="151"/>
      <c r="F358" s="162" t="s">
        <v>106</v>
      </c>
      <c r="G358" s="145" t="s">
        <v>2252</v>
      </c>
      <c r="H358" s="145">
        <v>20</v>
      </c>
      <c r="I358" s="145" t="s">
        <v>956</v>
      </c>
      <c r="J358" s="145" t="s">
        <v>78</v>
      </c>
      <c r="K358" s="145" t="s">
        <v>2314</v>
      </c>
      <c r="L358" s="145" t="s">
        <v>142</v>
      </c>
      <c r="M358" s="145" t="s">
        <v>2336</v>
      </c>
      <c r="N358" s="419" t="s">
        <v>2451</v>
      </c>
      <c r="O358" s="145" t="s">
        <v>2337</v>
      </c>
      <c r="P358" s="145"/>
      <c r="Q358" s="152"/>
    </row>
    <row r="359" spans="2:17" ht="20.100000000000001" customHeight="1">
      <c r="B359" s="51" t="s">
        <v>22</v>
      </c>
      <c r="C359" s="32">
        <v>46037</v>
      </c>
      <c r="D359" s="32">
        <v>46037</v>
      </c>
      <c r="E359" s="27"/>
      <c r="F359" s="98" t="s">
        <v>103</v>
      </c>
      <c r="G359" s="34" t="s">
        <v>2380</v>
      </c>
      <c r="H359" s="34">
        <v>40</v>
      </c>
      <c r="I359" s="34" t="s">
        <v>2317</v>
      </c>
      <c r="J359" s="34" t="s">
        <v>78</v>
      </c>
      <c r="K359" s="34" t="s">
        <v>267</v>
      </c>
      <c r="L359" s="34" t="s">
        <v>142</v>
      </c>
      <c r="M359" s="34" t="s">
        <v>2362</v>
      </c>
      <c r="N359" s="422" t="s">
        <v>2315</v>
      </c>
      <c r="O359" s="31" t="s">
        <v>2316</v>
      </c>
      <c r="P359" s="34"/>
      <c r="Q359" s="35"/>
    </row>
    <row r="360" spans="2:17" ht="20.100000000000001" customHeight="1">
      <c r="B360" s="161" t="s">
        <v>22</v>
      </c>
      <c r="C360" s="143">
        <v>46038</v>
      </c>
      <c r="D360" s="143">
        <v>46038</v>
      </c>
      <c r="E360" s="151"/>
      <c r="F360" s="162" t="s">
        <v>106</v>
      </c>
      <c r="G360" s="145" t="s">
        <v>2318</v>
      </c>
      <c r="H360" s="145">
        <v>110</v>
      </c>
      <c r="I360" s="145" t="s">
        <v>299</v>
      </c>
      <c r="J360" s="145" t="s">
        <v>72</v>
      </c>
      <c r="K360" s="145" t="s">
        <v>2319</v>
      </c>
      <c r="L360" s="145" t="s">
        <v>142</v>
      </c>
      <c r="M360" s="145" t="s">
        <v>220</v>
      </c>
      <c r="N360" s="419">
        <v>1097787679</v>
      </c>
      <c r="O360" s="145" t="s">
        <v>2338</v>
      </c>
      <c r="P360" s="145"/>
      <c r="Q360" s="152" t="s">
        <v>2320</v>
      </c>
    </row>
    <row r="361" spans="2:17" ht="20.100000000000001" customHeight="1">
      <c r="B361" s="51" t="s">
        <v>22</v>
      </c>
      <c r="C361" s="32">
        <v>46038</v>
      </c>
      <c r="D361" s="32">
        <v>46041</v>
      </c>
      <c r="E361" s="27"/>
      <c r="F361" s="98" t="s">
        <v>103</v>
      </c>
      <c r="G361" s="34" t="s">
        <v>2381</v>
      </c>
      <c r="H361" s="34">
        <v>10</v>
      </c>
      <c r="I361" s="34" t="s">
        <v>226</v>
      </c>
      <c r="J361" s="34" t="s">
        <v>72</v>
      </c>
      <c r="K361" s="34" t="s">
        <v>267</v>
      </c>
      <c r="L361" s="34" t="s">
        <v>142</v>
      </c>
      <c r="M361" s="34" t="s">
        <v>2363</v>
      </c>
      <c r="N361" s="422" t="s">
        <v>2321</v>
      </c>
      <c r="O361" s="31" t="s">
        <v>2364</v>
      </c>
      <c r="P361" s="34"/>
      <c r="Q361" s="35"/>
    </row>
    <row r="362" spans="2:17" ht="20.100000000000001" customHeight="1">
      <c r="B362" s="161" t="s">
        <v>22</v>
      </c>
      <c r="C362" s="143">
        <v>46041</v>
      </c>
      <c r="D362" s="143">
        <v>46042</v>
      </c>
      <c r="E362" s="151"/>
      <c r="F362" s="162" t="s">
        <v>106</v>
      </c>
      <c r="G362" s="145" t="s">
        <v>2322</v>
      </c>
      <c r="H362" s="145">
        <v>37</v>
      </c>
      <c r="I362" s="145" t="s">
        <v>330</v>
      </c>
      <c r="J362" s="145" t="s">
        <v>72</v>
      </c>
      <c r="K362" s="145" t="s">
        <v>2323</v>
      </c>
      <c r="L362" s="145" t="s">
        <v>142</v>
      </c>
      <c r="M362" s="145" t="s">
        <v>2365</v>
      </c>
      <c r="N362" s="419" t="s">
        <v>2749</v>
      </c>
      <c r="O362" s="145" t="s">
        <v>2366</v>
      </c>
      <c r="P362" s="145"/>
      <c r="Q362" s="152"/>
    </row>
    <row r="363" spans="2:17" ht="20.100000000000001" customHeight="1">
      <c r="B363" s="51" t="s">
        <v>22</v>
      </c>
      <c r="C363" s="32">
        <v>46041</v>
      </c>
      <c r="D363" s="32">
        <v>46042</v>
      </c>
      <c r="E363" s="27"/>
      <c r="F363" s="98" t="s">
        <v>103</v>
      </c>
      <c r="G363" s="34" t="s">
        <v>2382</v>
      </c>
      <c r="H363" s="34">
        <v>10</v>
      </c>
      <c r="I363" s="34" t="s">
        <v>2324</v>
      </c>
      <c r="J363" s="34" t="s">
        <v>72</v>
      </c>
      <c r="K363" s="21" t="s">
        <v>1992</v>
      </c>
      <c r="L363" s="34" t="s">
        <v>142</v>
      </c>
      <c r="M363" s="34" t="s">
        <v>2367</v>
      </c>
      <c r="N363" s="422">
        <v>1057329697</v>
      </c>
      <c r="O363" s="31" t="s">
        <v>2368</v>
      </c>
      <c r="P363" s="34"/>
      <c r="Q363" s="35"/>
    </row>
    <row r="364" spans="2:17" ht="20.100000000000001" customHeight="1">
      <c r="B364" s="51" t="s">
        <v>22</v>
      </c>
      <c r="C364" s="32">
        <v>46042</v>
      </c>
      <c r="D364" s="32">
        <v>46043</v>
      </c>
      <c r="E364" s="27"/>
      <c r="F364" s="98" t="s">
        <v>103</v>
      </c>
      <c r="G364" s="34" t="s">
        <v>2325</v>
      </c>
      <c r="H364" s="34">
        <v>19</v>
      </c>
      <c r="I364" s="34" t="s">
        <v>330</v>
      </c>
      <c r="J364" s="34" t="s">
        <v>78</v>
      </c>
      <c r="K364" s="34" t="s">
        <v>267</v>
      </c>
      <c r="L364" s="34" t="s">
        <v>142</v>
      </c>
      <c r="M364" s="34" t="s">
        <v>2369</v>
      </c>
      <c r="N364" s="422">
        <v>1098081562</v>
      </c>
      <c r="O364" s="31" t="s">
        <v>2370</v>
      </c>
      <c r="P364" s="34"/>
      <c r="Q364" s="35"/>
    </row>
    <row r="365" spans="2:17" ht="20.100000000000001" customHeight="1">
      <c r="B365" s="161" t="s">
        <v>22</v>
      </c>
      <c r="C365" s="143">
        <v>46042</v>
      </c>
      <c r="D365" s="143">
        <v>46044</v>
      </c>
      <c r="E365" s="151"/>
      <c r="F365" s="162" t="s">
        <v>106</v>
      </c>
      <c r="G365" s="145" t="s">
        <v>2262</v>
      </c>
      <c r="H365" s="145">
        <v>76</v>
      </c>
      <c r="I365" s="145" t="s">
        <v>2326</v>
      </c>
      <c r="J365" s="145" t="s">
        <v>72</v>
      </c>
      <c r="K365" s="145" t="s">
        <v>2327</v>
      </c>
      <c r="L365" s="145" t="s">
        <v>142</v>
      </c>
      <c r="M365" s="145" t="s">
        <v>2339</v>
      </c>
      <c r="N365" s="419" t="s">
        <v>2452</v>
      </c>
      <c r="O365" s="145" t="s">
        <v>2340</v>
      </c>
      <c r="P365" s="145"/>
      <c r="Q365" s="152"/>
    </row>
    <row r="366" spans="2:17" ht="20.100000000000001" customHeight="1">
      <c r="B366" s="161" t="s">
        <v>22</v>
      </c>
      <c r="C366" s="143">
        <v>46042</v>
      </c>
      <c r="D366" s="143">
        <v>46043</v>
      </c>
      <c r="E366" s="151"/>
      <c r="F366" s="162" t="s">
        <v>106</v>
      </c>
      <c r="G366" s="145" t="s">
        <v>2273</v>
      </c>
      <c r="H366" s="145">
        <v>27</v>
      </c>
      <c r="I366" s="145" t="s">
        <v>2328</v>
      </c>
      <c r="J366" s="145" t="s">
        <v>72</v>
      </c>
      <c r="K366" s="145" t="s">
        <v>2329</v>
      </c>
      <c r="L366" s="145" t="s">
        <v>142</v>
      </c>
      <c r="M366" s="145" t="s">
        <v>2341</v>
      </c>
      <c r="N366" s="419" t="s">
        <v>2453</v>
      </c>
      <c r="O366" s="145" t="s">
        <v>2342</v>
      </c>
      <c r="P366" s="145"/>
      <c r="Q366" s="152"/>
    </row>
    <row r="367" spans="2:17" ht="20.100000000000001" customHeight="1">
      <c r="B367" s="51" t="s">
        <v>22</v>
      </c>
      <c r="C367" s="32">
        <v>46044</v>
      </c>
      <c r="D367" s="32">
        <v>46045</v>
      </c>
      <c r="E367" s="27"/>
      <c r="F367" s="98" t="s">
        <v>103</v>
      </c>
      <c r="G367" s="34" t="s">
        <v>2383</v>
      </c>
      <c r="H367" s="34">
        <v>30</v>
      </c>
      <c r="I367" s="34" t="s">
        <v>209</v>
      </c>
      <c r="J367" s="34" t="s">
        <v>78</v>
      </c>
      <c r="K367" s="34" t="s">
        <v>2331</v>
      </c>
      <c r="L367" s="34" t="s">
        <v>142</v>
      </c>
      <c r="M367" s="34" t="s">
        <v>2371</v>
      </c>
      <c r="N367" s="422" t="s">
        <v>2330</v>
      </c>
      <c r="O367" s="31" t="s">
        <v>2372</v>
      </c>
      <c r="P367" s="34"/>
      <c r="Q367" s="35" t="s">
        <v>2332</v>
      </c>
    </row>
    <row r="368" spans="2:17" ht="20.100000000000001" customHeight="1">
      <c r="B368" s="161" t="s">
        <v>22</v>
      </c>
      <c r="C368" s="143">
        <v>46045</v>
      </c>
      <c r="D368" s="143">
        <v>46048</v>
      </c>
      <c r="E368" s="151"/>
      <c r="F368" s="162" t="s">
        <v>106</v>
      </c>
      <c r="G368" s="145" t="s">
        <v>2335</v>
      </c>
      <c r="H368" s="145">
        <v>11</v>
      </c>
      <c r="I368" s="145" t="s">
        <v>330</v>
      </c>
      <c r="J368" s="145" t="s">
        <v>78</v>
      </c>
      <c r="K368" s="145" t="s">
        <v>2334</v>
      </c>
      <c r="L368" s="145" t="s">
        <v>142</v>
      </c>
      <c r="M368" s="145" t="s">
        <v>2343</v>
      </c>
      <c r="N368" s="419">
        <v>1035423224</v>
      </c>
      <c r="O368" s="145" t="s">
        <v>2333</v>
      </c>
      <c r="P368" s="145"/>
      <c r="Q368" s="152"/>
    </row>
    <row r="369" spans="2:17" ht="20.100000000000001" customHeight="1">
      <c r="B369" s="51" t="s">
        <v>22</v>
      </c>
      <c r="C369" s="32">
        <v>46048</v>
      </c>
      <c r="D369" s="32">
        <v>46050</v>
      </c>
      <c r="E369" s="27"/>
      <c r="F369" s="98" t="s">
        <v>103</v>
      </c>
      <c r="G369" s="34" t="s">
        <v>2391</v>
      </c>
      <c r="H369" s="34">
        <v>9</v>
      </c>
      <c r="I369" s="34" t="s">
        <v>114</v>
      </c>
      <c r="J369" s="34" t="s">
        <v>72</v>
      </c>
      <c r="K369" s="34" t="s">
        <v>2384</v>
      </c>
      <c r="L369" s="34" t="s">
        <v>142</v>
      </c>
      <c r="M369" s="34" t="s">
        <v>2392</v>
      </c>
      <c r="N369" s="422" t="s">
        <v>2385</v>
      </c>
      <c r="O369" s="31" t="s">
        <v>2393</v>
      </c>
      <c r="P369" s="34"/>
      <c r="Q369" s="35"/>
    </row>
    <row r="370" spans="2:17" ht="20.100000000000001" customHeight="1">
      <c r="B370" s="178" t="s">
        <v>22</v>
      </c>
      <c r="C370" s="134">
        <v>46049</v>
      </c>
      <c r="D370" s="134">
        <v>46050</v>
      </c>
      <c r="E370" s="177"/>
      <c r="F370" s="179" t="s">
        <v>37</v>
      </c>
      <c r="G370" s="126" t="s">
        <v>2386</v>
      </c>
      <c r="H370" s="126" t="s">
        <v>81</v>
      </c>
      <c r="I370" s="126" t="s">
        <v>186</v>
      </c>
      <c r="J370" s="126" t="s">
        <v>78</v>
      </c>
      <c r="K370" s="126" t="s">
        <v>2387</v>
      </c>
      <c r="L370" s="126" t="s">
        <v>142</v>
      </c>
      <c r="M370" s="126" t="s">
        <v>2388</v>
      </c>
      <c r="N370" s="427" t="s">
        <v>2389</v>
      </c>
      <c r="O370" s="126" t="s">
        <v>2390</v>
      </c>
      <c r="P370" s="126"/>
      <c r="Q370" s="172" t="s">
        <v>2454</v>
      </c>
    </row>
    <row r="371" spans="2:17" ht="20.100000000000001" customHeight="1">
      <c r="B371" s="51" t="s">
        <v>22</v>
      </c>
      <c r="C371" s="32">
        <v>46051</v>
      </c>
      <c r="D371" s="32">
        <v>46055</v>
      </c>
      <c r="E371" s="27"/>
      <c r="F371" s="98" t="s">
        <v>103</v>
      </c>
      <c r="G371" s="34" t="s">
        <v>2455</v>
      </c>
      <c r="H371" s="34">
        <v>10</v>
      </c>
      <c r="I371" s="34" t="s">
        <v>1801</v>
      </c>
      <c r="J371" s="34" t="s">
        <v>78</v>
      </c>
      <c r="K371" s="34" t="s">
        <v>267</v>
      </c>
      <c r="L371" s="34" t="s">
        <v>142</v>
      </c>
      <c r="M371" s="34" t="s">
        <v>2456</v>
      </c>
      <c r="N371" s="422" t="s">
        <v>2457</v>
      </c>
      <c r="O371" s="31" t="s">
        <v>2458</v>
      </c>
      <c r="P371" s="34"/>
      <c r="Q371" s="35"/>
    </row>
    <row r="372" spans="2:17" s="388" customFormat="1" ht="20.100000000000001" customHeight="1" thickBot="1">
      <c r="B372" s="441" t="s">
        <v>22</v>
      </c>
      <c r="C372" s="442">
        <v>46052</v>
      </c>
      <c r="D372" s="442">
        <v>46052</v>
      </c>
      <c r="E372" s="441"/>
      <c r="F372" s="443" t="s">
        <v>103</v>
      </c>
      <c r="G372" s="444" t="s">
        <v>2459</v>
      </c>
      <c r="H372" s="444">
        <v>180</v>
      </c>
      <c r="I372" s="444" t="s">
        <v>114</v>
      </c>
      <c r="J372" s="444" t="s">
        <v>78</v>
      </c>
      <c r="K372" s="444" t="s">
        <v>2460</v>
      </c>
      <c r="L372" s="444" t="s">
        <v>142</v>
      </c>
      <c r="M372" s="444" t="s">
        <v>2461</v>
      </c>
      <c r="N372" s="445" t="s">
        <v>2462</v>
      </c>
      <c r="O372" s="446"/>
      <c r="P372" s="444"/>
      <c r="Q372" s="447"/>
    </row>
    <row r="373" spans="2:17" s="48" customFormat="1" ht="20.100000000000001" customHeight="1" thickTop="1">
      <c r="B373" s="161" t="s">
        <v>1</v>
      </c>
      <c r="C373" s="138">
        <v>46055</v>
      </c>
      <c r="D373" s="138">
        <v>46056</v>
      </c>
      <c r="E373" s="161"/>
      <c r="F373" s="438" t="s">
        <v>106</v>
      </c>
      <c r="G373" s="140" t="s">
        <v>2416</v>
      </c>
      <c r="H373" s="140">
        <v>3</v>
      </c>
      <c r="I373" s="140" t="s">
        <v>177</v>
      </c>
      <c r="J373" s="140" t="s">
        <v>78</v>
      </c>
      <c r="K373" s="140" t="s">
        <v>2463</v>
      </c>
      <c r="L373" s="140" t="s">
        <v>142</v>
      </c>
      <c r="M373" s="140" t="s">
        <v>2365</v>
      </c>
      <c r="N373" s="439" t="s">
        <v>2464</v>
      </c>
      <c r="O373" s="140" t="s">
        <v>2465</v>
      </c>
      <c r="P373" s="140"/>
      <c r="Q373" s="440"/>
    </row>
    <row r="374" spans="2:17" ht="20.100000000000001" customHeight="1">
      <c r="B374" s="51" t="s">
        <v>1</v>
      </c>
      <c r="C374" s="32">
        <v>46056</v>
      </c>
      <c r="D374" s="32">
        <v>46057</v>
      </c>
      <c r="E374" s="27"/>
      <c r="F374" s="98" t="s">
        <v>103</v>
      </c>
      <c r="G374" s="34" t="s">
        <v>2466</v>
      </c>
      <c r="H374" s="34">
        <v>12</v>
      </c>
      <c r="I374" s="34" t="s">
        <v>114</v>
      </c>
      <c r="J374" s="34" t="s">
        <v>78</v>
      </c>
      <c r="K374" s="34" t="s">
        <v>2467</v>
      </c>
      <c r="L374" s="34" t="s">
        <v>142</v>
      </c>
      <c r="M374" s="34" t="s">
        <v>2468</v>
      </c>
      <c r="N374" s="422" t="s">
        <v>2469</v>
      </c>
      <c r="O374" s="31" t="s">
        <v>2470</v>
      </c>
      <c r="P374" s="34"/>
      <c r="Q374" s="35"/>
    </row>
    <row r="375" spans="2:17" ht="20.100000000000001" customHeight="1">
      <c r="B375" s="51" t="s">
        <v>1</v>
      </c>
      <c r="C375" s="32">
        <v>46057</v>
      </c>
      <c r="D375" s="32">
        <v>46058</v>
      </c>
      <c r="E375" s="27"/>
      <c r="F375" s="98" t="s">
        <v>103</v>
      </c>
      <c r="G375" s="34" t="s">
        <v>2471</v>
      </c>
      <c r="H375" s="34" t="s">
        <v>81</v>
      </c>
      <c r="I375" s="34" t="s">
        <v>284</v>
      </c>
      <c r="J375" s="34" t="s">
        <v>72</v>
      </c>
      <c r="K375" s="34" t="s">
        <v>2472</v>
      </c>
      <c r="L375" s="34" t="s">
        <v>142</v>
      </c>
      <c r="M375" s="34" t="s">
        <v>2473</v>
      </c>
      <c r="N375" s="422" t="s">
        <v>2474</v>
      </c>
      <c r="O375" s="31" t="s">
        <v>2475</v>
      </c>
      <c r="P375" s="34"/>
      <c r="Q375" s="35"/>
    </row>
    <row r="376" spans="2:17" ht="20.100000000000001" customHeight="1">
      <c r="B376" s="51" t="s">
        <v>1</v>
      </c>
      <c r="C376" s="32">
        <v>46058</v>
      </c>
      <c r="D376" s="32">
        <v>46062</v>
      </c>
      <c r="E376" s="27"/>
      <c r="F376" s="98" t="s">
        <v>103</v>
      </c>
      <c r="G376" s="34" t="s">
        <v>2430</v>
      </c>
      <c r="H376" s="34">
        <v>15</v>
      </c>
      <c r="I376" s="34" t="s">
        <v>170</v>
      </c>
      <c r="J376" s="34" t="s">
        <v>72</v>
      </c>
      <c r="K376" s="34" t="s">
        <v>2476</v>
      </c>
      <c r="L376" s="34" t="s">
        <v>142</v>
      </c>
      <c r="M376" s="34" t="s">
        <v>2477</v>
      </c>
      <c r="N376" s="422" t="s">
        <v>2478</v>
      </c>
      <c r="O376" s="31" t="s">
        <v>2479</v>
      </c>
      <c r="P376" s="34"/>
      <c r="Q376" s="35"/>
    </row>
    <row r="377" spans="2:17" s="48" customFormat="1" ht="20.100000000000001" customHeight="1">
      <c r="B377" s="161" t="s">
        <v>1</v>
      </c>
      <c r="C377" s="138">
        <v>46058</v>
      </c>
      <c r="D377" s="138">
        <v>46062</v>
      </c>
      <c r="E377" s="161"/>
      <c r="F377" s="438" t="s">
        <v>106</v>
      </c>
      <c r="G377" s="140" t="s">
        <v>2480</v>
      </c>
      <c r="H377" s="140">
        <v>28</v>
      </c>
      <c r="I377" s="140" t="s">
        <v>1324</v>
      </c>
      <c r="J377" s="140" t="s">
        <v>78</v>
      </c>
      <c r="K377" s="140" t="s">
        <v>267</v>
      </c>
      <c r="L377" s="140" t="s">
        <v>142</v>
      </c>
      <c r="M377" s="140" t="s">
        <v>2481</v>
      </c>
      <c r="N377" s="439" t="s">
        <v>2482</v>
      </c>
      <c r="O377" s="140" t="s">
        <v>2483</v>
      </c>
      <c r="P377" s="140"/>
      <c r="Q377" s="440"/>
    </row>
    <row r="378" spans="2:17" ht="20.100000000000001" customHeight="1">
      <c r="B378" s="161" t="s">
        <v>1</v>
      </c>
      <c r="C378" s="143">
        <v>46057</v>
      </c>
      <c r="D378" s="143">
        <v>46058</v>
      </c>
      <c r="E378" s="151"/>
      <c r="F378" s="162" t="s">
        <v>106</v>
      </c>
      <c r="G378" s="145" t="s">
        <v>2484</v>
      </c>
      <c r="H378" s="145">
        <v>10</v>
      </c>
      <c r="I378" s="145" t="s">
        <v>284</v>
      </c>
      <c r="J378" s="145" t="s">
        <v>78</v>
      </c>
      <c r="K378" s="145" t="s">
        <v>2485</v>
      </c>
      <c r="L378" s="145" t="s">
        <v>142</v>
      </c>
      <c r="M378" s="145" t="s">
        <v>2486</v>
      </c>
      <c r="N378" s="419" t="s">
        <v>2487</v>
      </c>
      <c r="O378" s="145" t="s">
        <v>2488</v>
      </c>
      <c r="P378" s="145"/>
      <c r="Q378" s="152"/>
    </row>
    <row r="379" spans="2:17" ht="20.100000000000001" customHeight="1">
      <c r="B379" s="51" t="s">
        <v>1</v>
      </c>
      <c r="C379" s="32">
        <v>46062</v>
      </c>
      <c r="D379" s="32">
        <v>46064</v>
      </c>
      <c r="E379" s="27"/>
      <c r="F379" s="98" t="s">
        <v>103</v>
      </c>
      <c r="G379" s="34" t="s">
        <v>2489</v>
      </c>
      <c r="H379" s="34">
        <v>60</v>
      </c>
      <c r="I379" s="34" t="s">
        <v>821</v>
      </c>
      <c r="J379" s="34" t="s">
        <v>78</v>
      </c>
      <c r="K379" s="34" t="s">
        <v>267</v>
      </c>
      <c r="L379" s="34" t="s">
        <v>142</v>
      </c>
      <c r="M379" s="34" t="s">
        <v>2490</v>
      </c>
      <c r="N379" s="422" t="s">
        <v>2491</v>
      </c>
      <c r="O379" s="31" t="s">
        <v>2492</v>
      </c>
      <c r="P379" s="34"/>
      <c r="Q379" s="35"/>
    </row>
    <row r="380" spans="2:17" ht="20.100000000000001" customHeight="1">
      <c r="B380" s="161" t="s">
        <v>1</v>
      </c>
      <c r="C380" s="143">
        <v>46062</v>
      </c>
      <c r="D380" s="143">
        <v>46063</v>
      </c>
      <c r="E380" s="151"/>
      <c r="F380" s="162" t="s">
        <v>106</v>
      </c>
      <c r="G380" s="145" t="s">
        <v>2444</v>
      </c>
      <c r="H380" s="145">
        <v>30</v>
      </c>
      <c r="I380" s="145" t="s">
        <v>114</v>
      </c>
      <c r="J380" s="145" t="s">
        <v>72</v>
      </c>
      <c r="K380" s="145" t="s">
        <v>2493</v>
      </c>
      <c r="L380" s="145" t="s">
        <v>142</v>
      </c>
      <c r="M380" s="145" t="s">
        <v>2494</v>
      </c>
      <c r="N380" s="419" t="s">
        <v>2495</v>
      </c>
      <c r="O380" s="145" t="s">
        <v>2496</v>
      </c>
      <c r="P380" s="145"/>
      <c r="Q380" s="152"/>
    </row>
    <row r="381" spans="2:17" ht="20.100000000000001" customHeight="1">
      <c r="B381" s="161" t="s">
        <v>1</v>
      </c>
      <c r="C381" s="143">
        <v>46062</v>
      </c>
      <c r="D381" s="143">
        <v>46063</v>
      </c>
      <c r="E381" s="151"/>
      <c r="F381" s="162" t="s">
        <v>106</v>
      </c>
      <c r="G381" s="145" t="s">
        <v>2433</v>
      </c>
      <c r="H381" s="145">
        <v>20</v>
      </c>
      <c r="I381" s="145" t="s">
        <v>1089</v>
      </c>
      <c r="J381" s="145" t="s">
        <v>78</v>
      </c>
      <c r="K381" s="145" t="s">
        <v>2497</v>
      </c>
      <c r="L381" s="145" t="s">
        <v>142</v>
      </c>
      <c r="M381" s="145" t="s">
        <v>2498</v>
      </c>
      <c r="N381" s="419" t="s">
        <v>2499</v>
      </c>
      <c r="O381" s="145" t="s">
        <v>2500</v>
      </c>
      <c r="P381" s="145"/>
      <c r="Q381" s="152"/>
    </row>
    <row r="382" spans="2:17" ht="20.100000000000001" customHeight="1">
      <c r="B382" s="161" t="s">
        <v>1</v>
      </c>
      <c r="C382" s="143">
        <v>46064</v>
      </c>
      <c r="D382" s="143">
        <v>46066</v>
      </c>
      <c r="E382" s="151"/>
      <c r="F382" s="162" t="s">
        <v>106</v>
      </c>
      <c r="G382" s="145" t="s">
        <v>2501</v>
      </c>
      <c r="H382" s="145">
        <v>10</v>
      </c>
      <c r="I382" s="145" t="s">
        <v>330</v>
      </c>
      <c r="J382" s="145" t="s">
        <v>78</v>
      </c>
      <c r="K382" s="145" t="s">
        <v>267</v>
      </c>
      <c r="L382" s="145" t="s">
        <v>142</v>
      </c>
      <c r="M382" s="145" t="s">
        <v>2502</v>
      </c>
      <c r="N382" s="419" t="s">
        <v>2503</v>
      </c>
      <c r="O382" s="145" t="s">
        <v>2504</v>
      </c>
      <c r="P382" s="145"/>
      <c r="Q382" s="152"/>
    </row>
    <row r="383" spans="2:17" ht="20.100000000000001" customHeight="1">
      <c r="B383" s="51" t="s">
        <v>1</v>
      </c>
      <c r="C383" s="32">
        <v>46064</v>
      </c>
      <c r="D383" s="32">
        <v>46065</v>
      </c>
      <c r="E383" s="27"/>
      <c r="F383" s="98" t="s">
        <v>103</v>
      </c>
      <c r="G383" s="34" t="s">
        <v>2505</v>
      </c>
      <c r="H383" s="34">
        <v>250</v>
      </c>
      <c r="I383" s="34" t="s">
        <v>2506</v>
      </c>
      <c r="J383" s="34" t="s">
        <v>72</v>
      </c>
      <c r="K383" s="34" t="s">
        <v>2507</v>
      </c>
      <c r="L383" s="34" t="s">
        <v>142</v>
      </c>
      <c r="M383" s="34" t="s">
        <v>2508</v>
      </c>
      <c r="N383" s="422" t="s">
        <v>2509</v>
      </c>
      <c r="O383" s="31" t="s">
        <v>2510</v>
      </c>
      <c r="P383" s="34"/>
      <c r="Q383" s="35"/>
    </row>
    <row r="384" spans="2:17" ht="20.100000000000001" customHeight="1">
      <c r="B384" s="161" t="s">
        <v>1</v>
      </c>
      <c r="C384" s="143">
        <v>46071</v>
      </c>
      <c r="D384" s="143">
        <v>46073</v>
      </c>
      <c r="E384" s="151"/>
      <c r="F384" s="162" t="s">
        <v>106</v>
      </c>
      <c r="G384" s="145" t="s">
        <v>2450</v>
      </c>
      <c r="H384" s="145">
        <v>8</v>
      </c>
      <c r="I384" s="145" t="s">
        <v>700</v>
      </c>
      <c r="J384" s="145" t="s">
        <v>78</v>
      </c>
      <c r="K384" s="145" t="s">
        <v>2511</v>
      </c>
      <c r="L384" s="145" t="s">
        <v>142</v>
      </c>
      <c r="M384" s="145" t="s">
        <v>2512</v>
      </c>
      <c r="N384" s="419" t="s">
        <v>2513</v>
      </c>
      <c r="O384" s="145" t="s">
        <v>2514</v>
      </c>
      <c r="P384" s="145"/>
      <c r="Q384" s="152"/>
    </row>
    <row r="385" spans="2:17" ht="20.100000000000001" customHeight="1">
      <c r="B385" s="161" t="s">
        <v>1</v>
      </c>
      <c r="C385" s="143">
        <v>46072</v>
      </c>
      <c r="D385" s="143">
        <v>46073</v>
      </c>
      <c r="E385" s="151"/>
      <c r="F385" s="162" t="s">
        <v>106</v>
      </c>
      <c r="G385" s="145" t="s">
        <v>2445</v>
      </c>
      <c r="H385" s="145">
        <v>23</v>
      </c>
      <c r="I385" s="145" t="s">
        <v>1421</v>
      </c>
      <c r="J385" s="145" t="s">
        <v>78</v>
      </c>
      <c r="K385" s="145" t="s">
        <v>2515</v>
      </c>
      <c r="L385" s="145" t="s">
        <v>142</v>
      </c>
      <c r="M385" s="145" t="s">
        <v>2516</v>
      </c>
      <c r="N385" s="419" t="s">
        <v>2517</v>
      </c>
      <c r="O385" s="145" t="s">
        <v>2518</v>
      </c>
      <c r="P385" s="145"/>
      <c r="Q385" s="152"/>
    </row>
    <row r="386" spans="2:17" ht="20.100000000000001" customHeight="1">
      <c r="B386" s="161" t="s">
        <v>1</v>
      </c>
      <c r="C386" s="143">
        <v>46077</v>
      </c>
      <c r="D386" s="143">
        <v>46077</v>
      </c>
      <c r="E386" s="151"/>
      <c r="F386" s="162" t="s">
        <v>106</v>
      </c>
      <c r="G386" s="145" t="s">
        <v>2556</v>
      </c>
      <c r="H386" s="145">
        <v>140</v>
      </c>
      <c r="I386" s="145" t="s">
        <v>226</v>
      </c>
      <c r="J386" s="145" t="s">
        <v>72</v>
      </c>
      <c r="K386" s="145" t="s">
        <v>2569</v>
      </c>
      <c r="L386" s="145" t="s">
        <v>142</v>
      </c>
      <c r="M386" s="145" t="s">
        <v>2570</v>
      </c>
      <c r="N386" s="419" t="s">
        <v>2572</v>
      </c>
      <c r="O386" s="145" t="s">
        <v>2571</v>
      </c>
      <c r="P386" s="145"/>
      <c r="Q386" s="152" t="s">
        <v>2574</v>
      </c>
    </row>
    <row r="387" spans="2:17" ht="20.100000000000001" customHeight="1">
      <c r="B387" s="182" t="s">
        <v>1</v>
      </c>
      <c r="C387" s="183">
        <v>46077</v>
      </c>
      <c r="D387" s="183">
        <v>46077</v>
      </c>
      <c r="E387" s="184"/>
      <c r="F387" s="185" t="s">
        <v>112</v>
      </c>
      <c r="G387" s="186" t="s">
        <v>2582</v>
      </c>
      <c r="H387" s="186">
        <v>60</v>
      </c>
      <c r="I387" s="186" t="s">
        <v>226</v>
      </c>
      <c r="J387" s="186" t="s">
        <v>72</v>
      </c>
      <c r="K387" s="186" t="s">
        <v>2928</v>
      </c>
      <c r="L387" s="186" t="s">
        <v>142</v>
      </c>
      <c r="M387" s="186" t="s">
        <v>2575</v>
      </c>
      <c r="N387" s="432" t="s">
        <v>2573</v>
      </c>
      <c r="O387" s="186" t="s">
        <v>2576</v>
      </c>
      <c r="P387" s="186"/>
      <c r="Q387" s="186"/>
    </row>
    <row r="388" spans="2:17" ht="20.100000000000001" customHeight="1">
      <c r="B388" s="51" t="s">
        <v>1</v>
      </c>
      <c r="C388" s="32">
        <v>46078</v>
      </c>
      <c r="D388" s="32">
        <v>46078</v>
      </c>
      <c r="E388" s="27"/>
      <c r="F388" s="98" t="s">
        <v>103</v>
      </c>
      <c r="G388" s="34" t="s">
        <v>2695</v>
      </c>
      <c r="H388" s="34">
        <v>130</v>
      </c>
      <c r="I388" s="34" t="s">
        <v>171</v>
      </c>
      <c r="J388" s="34" t="s">
        <v>72</v>
      </c>
      <c r="K388" s="34" t="s">
        <v>2699</v>
      </c>
      <c r="L388" s="34" t="s">
        <v>92</v>
      </c>
      <c r="M388" s="34"/>
      <c r="N388" s="422" t="s">
        <v>2700</v>
      </c>
      <c r="O388" s="31"/>
      <c r="P388" s="34"/>
      <c r="Q388" s="35"/>
    </row>
    <row r="389" spans="2:17" ht="20.100000000000001" customHeight="1">
      <c r="B389" s="178" t="s">
        <v>1</v>
      </c>
      <c r="C389" s="134">
        <v>46078</v>
      </c>
      <c r="D389" s="134">
        <v>46078</v>
      </c>
      <c r="E389" s="177"/>
      <c r="F389" s="179" t="s">
        <v>37</v>
      </c>
      <c r="G389" s="126" t="s">
        <v>2696</v>
      </c>
      <c r="H389" s="126">
        <v>650</v>
      </c>
      <c r="I389" s="126" t="s">
        <v>171</v>
      </c>
      <c r="J389" s="126" t="s">
        <v>72</v>
      </c>
      <c r="K389" s="126" t="s">
        <v>2705</v>
      </c>
      <c r="L389" s="126" t="s">
        <v>92</v>
      </c>
      <c r="M389" s="126"/>
      <c r="N389" s="427" t="s">
        <v>2701</v>
      </c>
      <c r="O389" s="126"/>
      <c r="P389" s="126"/>
      <c r="Q389" s="172"/>
    </row>
    <row r="390" spans="2:17" ht="20.100000000000001" customHeight="1">
      <c r="B390" s="51" t="s">
        <v>1</v>
      </c>
      <c r="C390" s="32">
        <v>46078</v>
      </c>
      <c r="D390" s="32">
        <v>46078</v>
      </c>
      <c r="E390" s="27"/>
      <c r="F390" s="98" t="s">
        <v>103</v>
      </c>
      <c r="G390" s="34" t="s">
        <v>2697</v>
      </c>
      <c r="H390" s="34">
        <v>50</v>
      </c>
      <c r="I390" s="34" t="s">
        <v>171</v>
      </c>
      <c r="J390" s="34" t="s">
        <v>72</v>
      </c>
      <c r="K390" s="34" t="s">
        <v>2704</v>
      </c>
      <c r="L390" s="34" t="s">
        <v>92</v>
      </c>
      <c r="M390" s="34" t="s">
        <v>2703</v>
      </c>
      <c r="N390" s="422" t="s">
        <v>2702</v>
      </c>
      <c r="O390" s="31"/>
      <c r="P390" s="34"/>
      <c r="Q390" s="35"/>
    </row>
    <row r="391" spans="2:17" ht="20.100000000000001" customHeight="1">
      <c r="B391" s="178" t="s">
        <v>1</v>
      </c>
      <c r="C391" s="134">
        <v>46078</v>
      </c>
      <c r="D391" s="134">
        <v>46078</v>
      </c>
      <c r="E391" s="177"/>
      <c r="F391" s="179" t="s">
        <v>103</v>
      </c>
      <c r="G391" s="126" t="s">
        <v>1465</v>
      </c>
      <c r="H391" s="126">
        <v>700</v>
      </c>
      <c r="I391" s="126" t="s">
        <v>171</v>
      </c>
      <c r="J391" s="126" t="s">
        <v>72</v>
      </c>
      <c r="K391" s="126" t="s">
        <v>2706</v>
      </c>
      <c r="L391" s="126" t="s">
        <v>92</v>
      </c>
      <c r="M391" s="126"/>
      <c r="N391" s="427" t="s">
        <v>2707</v>
      </c>
      <c r="O391" s="126"/>
      <c r="P391" s="126"/>
      <c r="Q391" s="172"/>
    </row>
    <row r="392" spans="2:17" ht="20.100000000000001" customHeight="1">
      <c r="B392" s="178" t="s">
        <v>1</v>
      </c>
      <c r="C392" s="134">
        <v>46078</v>
      </c>
      <c r="D392" s="134">
        <v>46078</v>
      </c>
      <c r="E392" s="177"/>
      <c r="F392" s="179" t="s">
        <v>37</v>
      </c>
      <c r="G392" s="126" t="s">
        <v>2698</v>
      </c>
      <c r="H392" s="126">
        <v>30</v>
      </c>
      <c r="I392" s="126" t="s">
        <v>171</v>
      </c>
      <c r="J392" s="126" t="s">
        <v>72</v>
      </c>
      <c r="K392" s="126" t="s">
        <v>2706</v>
      </c>
      <c r="L392" s="126" t="s">
        <v>92</v>
      </c>
      <c r="M392" s="126" t="s">
        <v>2709</v>
      </c>
      <c r="N392" s="427" t="s">
        <v>2708</v>
      </c>
      <c r="O392" s="126"/>
      <c r="P392" s="126"/>
      <c r="Q392" s="172"/>
    </row>
    <row r="393" spans="2:17" ht="20.100000000000001" customHeight="1">
      <c r="B393" s="178" t="s">
        <v>1</v>
      </c>
      <c r="C393" s="134">
        <v>46078</v>
      </c>
      <c r="D393" s="134">
        <v>46079</v>
      </c>
      <c r="E393" s="177"/>
      <c r="F393" s="179" t="s">
        <v>37</v>
      </c>
      <c r="G393" s="126" t="s">
        <v>2580</v>
      </c>
      <c r="H393" s="126">
        <v>100</v>
      </c>
      <c r="I393" s="126" t="s">
        <v>255</v>
      </c>
      <c r="J393" s="126" t="s">
        <v>72</v>
      </c>
      <c r="K393" s="172" t="s">
        <v>2929</v>
      </c>
      <c r="L393" s="126" t="s">
        <v>142</v>
      </c>
      <c r="M393" s="126" t="s">
        <v>2585</v>
      </c>
      <c r="N393" s="427" t="s">
        <v>2586</v>
      </c>
      <c r="O393" s="126" t="s">
        <v>2587</v>
      </c>
      <c r="P393" s="126"/>
      <c r="Q393" s="172" t="s">
        <v>2581</v>
      </c>
    </row>
    <row r="394" spans="2:17" ht="20.100000000000001" customHeight="1">
      <c r="B394" s="161" t="s">
        <v>1</v>
      </c>
      <c r="C394" s="143">
        <v>46078</v>
      </c>
      <c r="D394" s="143">
        <v>46079</v>
      </c>
      <c r="E394" s="151"/>
      <c r="F394" s="162" t="s">
        <v>106</v>
      </c>
      <c r="G394" s="145" t="s">
        <v>2520</v>
      </c>
      <c r="H394" s="145">
        <v>40</v>
      </c>
      <c r="I394" s="145" t="s">
        <v>448</v>
      </c>
      <c r="J394" s="145" t="s">
        <v>78</v>
      </c>
      <c r="K394" s="145" t="s">
        <v>2583</v>
      </c>
      <c r="L394" s="145" t="s">
        <v>142</v>
      </c>
      <c r="M394" s="145" t="s">
        <v>1685</v>
      </c>
      <c r="N394" s="419" t="s">
        <v>2584</v>
      </c>
      <c r="O394" s="145" t="s">
        <v>2588</v>
      </c>
      <c r="P394" s="145"/>
      <c r="Q394" s="152"/>
    </row>
    <row r="395" spans="2:17" ht="20.100000000000001" customHeight="1">
      <c r="B395" s="161" t="s">
        <v>1</v>
      </c>
      <c r="C395" s="143">
        <v>46078</v>
      </c>
      <c r="D395" s="143">
        <v>46079</v>
      </c>
      <c r="E395" s="151"/>
      <c r="F395" s="162" t="s">
        <v>106</v>
      </c>
      <c r="G395" s="145" t="s">
        <v>2522</v>
      </c>
      <c r="H395" s="145">
        <v>20</v>
      </c>
      <c r="I395" s="145" t="s">
        <v>448</v>
      </c>
      <c r="J395" s="145" t="s">
        <v>78</v>
      </c>
      <c r="K395" s="145" t="s">
        <v>2589</v>
      </c>
      <c r="L395" s="145" t="s">
        <v>142</v>
      </c>
      <c r="M395" s="145" t="s">
        <v>2590</v>
      </c>
      <c r="N395" s="419" t="s">
        <v>2594</v>
      </c>
      <c r="O395" s="145" t="s">
        <v>2591</v>
      </c>
      <c r="P395" s="145"/>
      <c r="Q395" s="152"/>
    </row>
    <row r="396" spans="2:17" ht="20.100000000000001" customHeight="1">
      <c r="B396" s="200" t="s">
        <v>1</v>
      </c>
      <c r="C396" s="201">
        <v>46078</v>
      </c>
      <c r="D396" s="201">
        <v>46079</v>
      </c>
      <c r="E396" s="202"/>
      <c r="F396" s="180" t="s">
        <v>103</v>
      </c>
      <c r="G396" s="176" t="s">
        <v>2592</v>
      </c>
      <c r="H396" s="176">
        <v>50</v>
      </c>
      <c r="I396" s="176" t="s">
        <v>2593</v>
      </c>
      <c r="J396" s="176" t="s">
        <v>78</v>
      </c>
      <c r="K396" s="176" t="s">
        <v>267</v>
      </c>
      <c r="L396" s="34" t="s">
        <v>142</v>
      </c>
      <c r="M396" s="34" t="s">
        <v>2595</v>
      </c>
      <c r="N396" s="430" t="s">
        <v>2597</v>
      </c>
      <c r="O396" s="430" t="s">
        <v>2596</v>
      </c>
      <c r="P396" s="176"/>
      <c r="Q396" s="204"/>
    </row>
    <row r="397" spans="2:17" ht="20.100000000000001" customHeight="1">
      <c r="B397" s="200" t="s">
        <v>1</v>
      </c>
      <c r="C397" s="201">
        <v>46078</v>
      </c>
      <c r="D397" s="201">
        <v>46080</v>
      </c>
      <c r="E397" s="202"/>
      <c r="F397" s="180" t="s">
        <v>103</v>
      </c>
      <c r="G397" s="176" t="s">
        <v>2599</v>
      </c>
      <c r="H397" s="176">
        <v>30</v>
      </c>
      <c r="I397" s="176" t="s">
        <v>835</v>
      </c>
      <c r="J397" s="176" t="s">
        <v>78</v>
      </c>
      <c r="K397" s="176" t="s">
        <v>2598</v>
      </c>
      <c r="L397" s="176" t="s">
        <v>87</v>
      </c>
      <c r="M397" s="34" t="s">
        <v>81</v>
      </c>
      <c r="N397" s="430">
        <v>1026687797</v>
      </c>
      <c r="O397" s="430"/>
      <c r="P397" s="176"/>
      <c r="Q397" s="204"/>
    </row>
    <row r="398" spans="2:17" ht="20.100000000000001" customHeight="1">
      <c r="B398" s="161" t="s">
        <v>1</v>
      </c>
      <c r="C398" s="143">
        <v>46080</v>
      </c>
      <c r="D398" s="143">
        <v>46085</v>
      </c>
      <c r="E398" s="151"/>
      <c r="F398" s="162" t="s">
        <v>106</v>
      </c>
      <c r="G398" s="145" t="s">
        <v>2600</v>
      </c>
      <c r="H398" s="145">
        <v>20</v>
      </c>
      <c r="I398" s="145" t="s">
        <v>1572</v>
      </c>
      <c r="J398" s="145" t="s">
        <v>72</v>
      </c>
      <c r="K398" s="145" t="s">
        <v>2601</v>
      </c>
      <c r="L398" s="145" t="s">
        <v>142</v>
      </c>
      <c r="M398" s="145" t="s">
        <v>2609</v>
      </c>
      <c r="N398" s="419">
        <v>1085831584</v>
      </c>
      <c r="O398" s="145" t="s">
        <v>2750</v>
      </c>
      <c r="P398" s="145"/>
      <c r="Q398" s="152"/>
    </row>
    <row r="399" spans="2:17" ht="20.100000000000001" customHeight="1">
      <c r="B399" s="182" t="s">
        <v>1</v>
      </c>
      <c r="C399" s="183">
        <v>46080</v>
      </c>
      <c r="D399" s="183">
        <v>46080</v>
      </c>
      <c r="E399" s="184"/>
      <c r="F399" s="185" t="s">
        <v>112</v>
      </c>
      <c r="G399" s="186" t="s">
        <v>2603</v>
      </c>
      <c r="H399" s="186">
        <v>800</v>
      </c>
      <c r="I399" s="186" t="s">
        <v>1572</v>
      </c>
      <c r="J399" s="186" t="s">
        <v>72</v>
      </c>
      <c r="K399" s="186" t="s">
        <v>2930</v>
      </c>
      <c r="L399" s="186" t="s">
        <v>142</v>
      </c>
      <c r="M399" s="186" t="s">
        <v>2610</v>
      </c>
      <c r="N399" s="432">
        <v>1098530116</v>
      </c>
      <c r="O399" s="186" t="s">
        <v>2931</v>
      </c>
      <c r="P399" s="186"/>
      <c r="Q399" s="186" t="s">
        <v>2751</v>
      </c>
    </row>
    <row r="400" spans="2:17" ht="20.100000000000001" customHeight="1">
      <c r="B400" s="182" t="s">
        <v>1</v>
      </c>
      <c r="C400" s="183">
        <v>46080</v>
      </c>
      <c r="D400" s="183">
        <v>46080</v>
      </c>
      <c r="E400" s="184"/>
      <c r="F400" s="185" t="s">
        <v>112</v>
      </c>
      <c r="G400" s="186" t="s">
        <v>2577</v>
      </c>
      <c r="H400" s="186">
        <v>110</v>
      </c>
      <c r="I400" s="186" t="s">
        <v>114</v>
      </c>
      <c r="J400" s="186" t="s">
        <v>78</v>
      </c>
      <c r="K400" s="186" t="s">
        <v>2932</v>
      </c>
      <c r="L400" s="186" t="s">
        <v>141</v>
      </c>
      <c r="M400" s="186" t="s">
        <v>2578</v>
      </c>
      <c r="N400" s="432" t="s">
        <v>2579</v>
      </c>
      <c r="O400" s="186" t="s">
        <v>2844</v>
      </c>
      <c r="P400" s="186"/>
      <c r="Q400" s="186"/>
    </row>
    <row r="401" spans="2:17" s="48" customFormat="1" ht="20.100000000000001" customHeight="1">
      <c r="B401" s="200" t="s">
        <v>18</v>
      </c>
      <c r="C401" s="434">
        <v>46082</v>
      </c>
      <c r="D401" s="434">
        <v>46085</v>
      </c>
      <c r="E401" s="200"/>
      <c r="F401" s="435" t="s">
        <v>103</v>
      </c>
      <c r="G401" s="176" t="s">
        <v>2607</v>
      </c>
      <c r="H401" s="436">
        <v>15</v>
      </c>
      <c r="I401" s="436" t="s">
        <v>170</v>
      </c>
      <c r="J401" s="436" t="s">
        <v>72</v>
      </c>
      <c r="K401" s="436" t="s">
        <v>2604</v>
      </c>
      <c r="L401" s="176" t="s">
        <v>87</v>
      </c>
      <c r="M401" s="34" t="s">
        <v>2611</v>
      </c>
      <c r="N401" s="430">
        <v>1023613569</v>
      </c>
      <c r="O401" s="430" t="s">
        <v>2605</v>
      </c>
      <c r="P401" s="436"/>
      <c r="Q401" s="437"/>
    </row>
    <row r="402" spans="2:17" ht="20.100000000000001" customHeight="1">
      <c r="B402" s="200" t="s">
        <v>18</v>
      </c>
      <c r="C402" s="201">
        <v>46083</v>
      </c>
      <c r="D402" s="201">
        <v>46084</v>
      </c>
      <c r="E402" s="202"/>
      <c r="F402" s="180" t="s">
        <v>103</v>
      </c>
      <c r="G402" s="176" t="s">
        <v>2608</v>
      </c>
      <c r="H402" s="176">
        <v>50</v>
      </c>
      <c r="I402" s="176" t="s">
        <v>888</v>
      </c>
      <c r="J402" s="176" t="s">
        <v>72</v>
      </c>
      <c r="K402" s="176" t="s">
        <v>267</v>
      </c>
      <c r="L402" s="176" t="s">
        <v>87</v>
      </c>
      <c r="M402" s="34" t="s">
        <v>2612</v>
      </c>
      <c r="N402" s="430">
        <v>1090113744</v>
      </c>
      <c r="O402" s="430" t="s">
        <v>2606</v>
      </c>
      <c r="P402" s="176"/>
      <c r="Q402" s="204"/>
    </row>
    <row r="403" spans="2:17" ht="20.100000000000001" customHeight="1">
      <c r="B403" s="200" t="s">
        <v>18</v>
      </c>
      <c r="C403" s="201">
        <v>46084</v>
      </c>
      <c r="D403" s="201">
        <v>46085</v>
      </c>
      <c r="E403" s="202"/>
      <c r="F403" s="180" t="s">
        <v>103</v>
      </c>
      <c r="G403" s="176" t="s">
        <v>2613</v>
      </c>
      <c r="H403" s="176">
        <v>50</v>
      </c>
      <c r="I403" s="176" t="s">
        <v>2615</v>
      </c>
      <c r="J403" s="176" t="s">
        <v>78</v>
      </c>
      <c r="K403" s="176" t="s">
        <v>2616</v>
      </c>
      <c r="L403" s="176" t="s">
        <v>87</v>
      </c>
      <c r="M403" s="34" t="s">
        <v>2634</v>
      </c>
      <c r="N403" s="430">
        <v>1033141779</v>
      </c>
      <c r="O403" s="430" t="s">
        <v>2614</v>
      </c>
      <c r="P403" s="176"/>
      <c r="Q403" s="204"/>
    </row>
    <row r="404" spans="2:17" ht="20.100000000000001" customHeight="1">
      <c r="B404" s="182" t="s">
        <v>18</v>
      </c>
      <c r="C404" s="183">
        <v>46084</v>
      </c>
      <c r="D404" s="183">
        <v>46085</v>
      </c>
      <c r="E404" s="184"/>
      <c r="F404" s="185" t="s">
        <v>112</v>
      </c>
      <c r="G404" s="186" t="s">
        <v>2617</v>
      </c>
      <c r="H404" s="186">
        <v>1000</v>
      </c>
      <c r="I404" s="186" t="s">
        <v>239</v>
      </c>
      <c r="J404" s="186" t="s">
        <v>72</v>
      </c>
      <c r="K404" s="186" t="s">
        <v>2618</v>
      </c>
      <c r="L404" s="186" t="s">
        <v>142</v>
      </c>
      <c r="M404" s="186" t="s">
        <v>2619</v>
      </c>
      <c r="N404" s="432" t="s">
        <v>2621</v>
      </c>
      <c r="O404" s="186" t="s">
        <v>2620</v>
      </c>
      <c r="P404" s="186"/>
      <c r="Q404" s="186"/>
    </row>
    <row r="405" spans="2:17" ht="20.100000000000001" customHeight="1">
      <c r="B405" s="200" t="s">
        <v>18</v>
      </c>
      <c r="C405" s="201">
        <v>46085</v>
      </c>
      <c r="D405" s="201">
        <v>46087</v>
      </c>
      <c r="E405" s="202"/>
      <c r="F405" s="180" t="s">
        <v>103</v>
      </c>
      <c r="G405" s="176" t="s">
        <v>2628</v>
      </c>
      <c r="H405" s="176">
        <v>40</v>
      </c>
      <c r="I405" s="176" t="s">
        <v>34</v>
      </c>
      <c r="J405" s="176" t="s">
        <v>72</v>
      </c>
      <c r="K405" s="176" t="s">
        <v>2623</v>
      </c>
      <c r="L405" s="176" t="s">
        <v>87</v>
      </c>
      <c r="M405" s="176" t="s">
        <v>2640</v>
      </c>
      <c r="N405" s="430">
        <v>1077031190</v>
      </c>
      <c r="O405" s="430" t="s">
        <v>2622</v>
      </c>
      <c r="P405" s="176"/>
      <c r="Q405" s="204"/>
    </row>
    <row r="406" spans="2:17" ht="20.100000000000001" customHeight="1">
      <c r="B406" s="161" t="s">
        <v>18</v>
      </c>
      <c r="C406" s="143">
        <v>46085</v>
      </c>
      <c r="D406" s="143">
        <v>46087</v>
      </c>
      <c r="E406" s="151"/>
      <c r="F406" s="162" t="s">
        <v>106</v>
      </c>
      <c r="G406" s="145" t="s">
        <v>2564</v>
      </c>
      <c r="H406" s="145">
        <v>5</v>
      </c>
      <c r="I406" s="145" t="s">
        <v>226</v>
      </c>
      <c r="J406" s="145" t="s">
        <v>72</v>
      </c>
      <c r="K406" s="145" t="s">
        <v>2624</v>
      </c>
      <c r="L406" s="145" t="s">
        <v>142</v>
      </c>
      <c r="M406" s="145" t="s">
        <v>2625</v>
      </c>
      <c r="N406" s="419" t="s">
        <v>2627</v>
      </c>
      <c r="O406" s="145" t="s">
        <v>2626</v>
      </c>
      <c r="P406" s="145"/>
      <c r="Q406" s="152"/>
    </row>
    <row r="407" spans="2:17" ht="20.100000000000001" customHeight="1">
      <c r="B407" s="200" t="s">
        <v>18</v>
      </c>
      <c r="C407" s="201">
        <v>46085</v>
      </c>
      <c r="D407" s="201">
        <v>46086</v>
      </c>
      <c r="E407" s="202"/>
      <c r="F407" s="180" t="s">
        <v>103</v>
      </c>
      <c r="G407" s="176" t="s">
        <v>2631</v>
      </c>
      <c r="H407" s="176">
        <v>170</v>
      </c>
      <c r="I407" s="176" t="s">
        <v>299</v>
      </c>
      <c r="J407" s="176" t="s">
        <v>72</v>
      </c>
      <c r="K407" s="176" t="s">
        <v>2933</v>
      </c>
      <c r="L407" s="176" t="s">
        <v>87</v>
      </c>
      <c r="M407" s="176" t="s">
        <v>2638</v>
      </c>
      <c r="N407" s="430" t="s">
        <v>2629</v>
      </c>
      <c r="O407" s="430" t="s">
        <v>2630</v>
      </c>
      <c r="P407" s="176"/>
      <c r="Q407" s="204"/>
    </row>
    <row r="408" spans="2:17" ht="20.100000000000001" customHeight="1">
      <c r="B408" s="200" t="s">
        <v>18</v>
      </c>
      <c r="C408" s="201">
        <v>46086</v>
      </c>
      <c r="D408" s="201">
        <v>46091</v>
      </c>
      <c r="E408" s="202"/>
      <c r="F408" s="180" t="s">
        <v>103</v>
      </c>
      <c r="G408" s="176" t="s">
        <v>2632</v>
      </c>
      <c r="H408" s="176">
        <v>40</v>
      </c>
      <c r="I408" s="176" t="s">
        <v>1253</v>
      </c>
      <c r="J408" s="176" t="s">
        <v>72</v>
      </c>
      <c r="K408" s="176" t="s">
        <v>2278</v>
      </c>
      <c r="L408" s="176" t="s">
        <v>87</v>
      </c>
      <c r="M408" s="176" t="s">
        <v>2639</v>
      </c>
      <c r="N408" s="430">
        <v>1030931991</v>
      </c>
      <c r="O408" s="176" t="s">
        <v>2633</v>
      </c>
      <c r="P408" s="176"/>
      <c r="Q408" s="204" t="s">
        <v>2602</v>
      </c>
    </row>
    <row r="409" spans="2:17" ht="20.100000000000001" customHeight="1">
      <c r="B409" s="200" t="s">
        <v>18</v>
      </c>
      <c r="C409" s="201">
        <v>46086</v>
      </c>
      <c r="D409" s="448">
        <v>46091</v>
      </c>
      <c r="E409" s="202"/>
      <c r="F409" s="180" t="s">
        <v>103</v>
      </c>
      <c r="G409" s="176" t="s">
        <v>2635</v>
      </c>
      <c r="H409" s="176">
        <v>20</v>
      </c>
      <c r="I409" s="176" t="s">
        <v>114</v>
      </c>
      <c r="J409" s="176" t="s">
        <v>72</v>
      </c>
      <c r="K409" s="176" t="s">
        <v>2642</v>
      </c>
      <c r="L409" s="176" t="s">
        <v>87</v>
      </c>
      <c r="M409" s="176" t="s">
        <v>2636</v>
      </c>
      <c r="N409" s="430" t="s">
        <v>2637</v>
      </c>
      <c r="O409" s="176" t="s">
        <v>2641</v>
      </c>
      <c r="P409" s="176"/>
      <c r="Q409" s="204"/>
    </row>
    <row r="410" spans="2:17" ht="20.100000000000001" customHeight="1">
      <c r="B410" s="200" t="s">
        <v>18</v>
      </c>
      <c r="C410" s="201">
        <v>46086</v>
      </c>
      <c r="D410" s="201">
        <v>46090</v>
      </c>
      <c r="E410" s="202"/>
      <c r="F410" s="180" t="s">
        <v>103</v>
      </c>
      <c r="G410" s="176" t="s">
        <v>2643</v>
      </c>
      <c r="H410" s="176">
        <v>30</v>
      </c>
      <c r="I410" s="176" t="s">
        <v>114</v>
      </c>
      <c r="J410" s="176" t="s">
        <v>78</v>
      </c>
      <c r="K410" s="176" t="s">
        <v>2644</v>
      </c>
      <c r="L410" s="176" t="s">
        <v>87</v>
      </c>
      <c r="M410" s="176" t="s">
        <v>2645</v>
      </c>
      <c r="N410" s="430">
        <v>1097990604</v>
      </c>
      <c r="O410" s="176" t="s">
        <v>2646</v>
      </c>
      <c r="P410" s="176"/>
      <c r="Q410" s="204"/>
    </row>
    <row r="411" spans="2:17" ht="20.100000000000001" customHeight="1">
      <c r="B411" s="200" t="s">
        <v>18</v>
      </c>
      <c r="C411" s="201">
        <v>46087</v>
      </c>
      <c r="D411" s="201">
        <v>46091</v>
      </c>
      <c r="E411" s="202"/>
      <c r="F411" s="180" t="s">
        <v>103</v>
      </c>
      <c r="G411" s="176" t="s">
        <v>2647</v>
      </c>
      <c r="H411" s="176">
        <v>60</v>
      </c>
      <c r="I411" s="176" t="s">
        <v>2648</v>
      </c>
      <c r="J411" s="176" t="s">
        <v>78</v>
      </c>
      <c r="K411" s="176" t="s">
        <v>267</v>
      </c>
      <c r="L411" s="176" t="s">
        <v>87</v>
      </c>
      <c r="M411" s="176" t="s">
        <v>2649</v>
      </c>
      <c r="N411" s="430" t="s">
        <v>2650</v>
      </c>
      <c r="O411" s="449" t="s">
        <v>2651</v>
      </c>
      <c r="P411" s="176"/>
      <c r="Q411" s="204"/>
    </row>
    <row r="412" spans="2:17" ht="20.100000000000001" customHeight="1">
      <c r="B412" s="182" t="s">
        <v>18</v>
      </c>
      <c r="C412" s="183">
        <v>46089</v>
      </c>
      <c r="D412" s="183">
        <v>46092</v>
      </c>
      <c r="E412" s="184"/>
      <c r="F412" s="185" t="s">
        <v>112</v>
      </c>
      <c r="G412" s="186" t="s">
        <v>2652</v>
      </c>
      <c r="H412" s="186">
        <v>7</v>
      </c>
      <c r="I412" s="186" t="s">
        <v>637</v>
      </c>
      <c r="J412" s="186" t="s">
        <v>78</v>
      </c>
      <c r="K412" s="186" t="s">
        <v>2655</v>
      </c>
      <c r="L412" s="186" t="s">
        <v>142</v>
      </c>
      <c r="M412" s="186" t="s">
        <v>2654</v>
      </c>
      <c r="N412" s="432">
        <v>1066285426</v>
      </c>
      <c r="O412" s="186" t="s">
        <v>2653</v>
      </c>
      <c r="P412" s="186"/>
      <c r="Q412" s="186"/>
    </row>
    <row r="413" spans="2:17" ht="20.100000000000001" customHeight="1">
      <c r="B413" s="161" t="s">
        <v>18</v>
      </c>
      <c r="C413" s="143">
        <v>46090</v>
      </c>
      <c r="D413" s="143">
        <v>46092</v>
      </c>
      <c r="E413" s="151"/>
      <c r="F413" s="162" t="s">
        <v>106</v>
      </c>
      <c r="G413" s="145" t="s">
        <v>2656</v>
      </c>
      <c r="H413" s="145">
        <v>4</v>
      </c>
      <c r="I413" s="145" t="s">
        <v>330</v>
      </c>
      <c r="J413" s="145" t="s">
        <v>78</v>
      </c>
      <c r="K413" s="145" t="s">
        <v>2659</v>
      </c>
      <c r="L413" s="145" t="s">
        <v>142</v>
      </c>
      <c r="M413" s="145" t="s">
        <v>2657</v>
      </c>
      <c r="N413" s="419">
        <v>1093690594</v>
      </c>
      <c r="O413" s="145" t="s">
        <v>2658</v>
      </c>
      <c r="P413" s="145"/>
      <c r="Q413" s="152"/>
    </row>
    <row r="414" spans="2:17" ht="20.100000000000001" customHeight="1">
      <c r="B414" s="200" t="s">
        <v>18</v>
      </c>
      <c r="C414" s="201">
        <v>46090</v>
      </c>
      <c r="D414" s="201">
        <v>46092</v>
      </c>
      <c r="E414" s="202"/>
      <c r="F414" s="180" t="s">
        <v>103</v>
      </c>
      <c r="G414" s="176" t="s">
        <v>2660</v>
      </c>
      <c r="H414" s="176">
        <v>30</v>
      </c>
      <c r="I414" s="176" t="s">
        <v>1572</v>
      </c>
      <c r="J414" s="176" t="s">
        <v>78</v>
      </c>
      <c r="K414" s="176" t="s">
        <v>2661</v>
      </c>
      <c r="L414" s="176" t="s">
        <v>142</v>
      </c>
      <c r="M414" s="176" t="s">
        <v>2752</v>
      </c>
      <c r="N414" s="430">
        <v>1097973649</v>
      </c>
      <c r="O414" s="449" t="s">
        <v>2662</v>
      </c>
      <c r="P414" s="176"/>
      <c r="Q414" s="204"/>
    </row>
    <row r="415" spans="2:17" ht="20.100000000000001" customHeight="1">
      <c r="B415" s="182" t="s">
        <v>18</v>
      </c>
      <c r="C415" s="183">
        <v>46090</v>
      </c>
      <c r="D415" s="183">
        <v>46092</v>
      </c>
      <c r="E415" s="184"/>
      <c r="F415" s="185" t="s">
        <v>112</v>
      </c>
      <c r="G415" s="186" t="s">
        <v>2663</v>
      </c>
      <c r="H415" s="186">
        <v>13</v>
      </c>
      <c r="I415" s="186" t="s">
        <v>544</v>
      </c>
      <c r="J415" s="186" t="s">
        <v>78</v>
      </c>
      <c r="K415" s="186" t="s">
        <v>2664</v>
      </c>
      <c r="L415" s="186" t="s">
        <v>142</v>
      </c>
      <c r="M415" s="186" t="s">
        <v>2665</v>
      </c>
      <c r="N415" s="432">
        <v>1054745921</v>
      </c>
      <c r="O415" s="186" t="s">
        <v>2666</v>
      </c>
      <c r="P415" s="186"/>
      <c r="Q415" s="186"/>
    </row>
    <row r="416" spans="2:17" ht="20.100000000000001" customHeight="1">
      <c r="B416" s="182" t="s">
        <v>18</v>
      </c>
      <c r="C416" s="183">
        <v>46092</v>
      </c>
      <c r="D416" s="183">
        <v>46092</v>
      </c>
      <c r="E416" s="184"/>
      <c r="F416" s="185" t="s">
        <v>112</v>
      </c>
      <c r="G416" s="186" t="s">
        <v>2667</v>
      </c>
      <c r="H416" s="186">
        <v>60</v>
      </c>
      <c r="I416" s="186" t="s">
        <v>544</v>
      </c>
      <c r="J416" s="186" t="s">
        <v>78</v>
      </c>
      <c r="K416" s="186" t="s">
        <v>2668</v>
      </c>
      <c r="L416" s="186" t="s">
        <v>142</v>
      </c>
      <c r="M416" s="186" t="s">
        <v>2669</v>
      </c>
      <c r="N416" s="432">
        <v>1056035401</v>
      </c>
      <c r="O416" s="453" t="s">
        <v>2670</v>
      </c>
      <c r="P416" s="186"/>
      <c r="Q416" s="186"/>
    </row>
    <row r="417" spans="2:17" ht="20.100000000000001" customHeight="1">
      <c r="B417" s="178" t="s">
        <v>18</v>
      </c>
      <c r="C417" s="134">
        <v>46092</v>
      </c>
      <c r="D417" s="134">
        <v>46093</v>
      </c>
      <c r="E417" s="177"/>
      <c r="F417" s="179" t="s">
        <v>37</v>
      </c>
      <c r="G417" s="126" t="s">
        <v>2671</v>
      </c>
      <c r="H417" s="126">
        <v>500</v>
      </c>
      <c r="I417" s="126" t="s">
        <v>429</v>
      </c>
      <c r="J417" s="126" t="s">
        <v>72</v>
      </c>
      <c r="K417" s="126" t="s">
        <v>2672</v>
      </c>
      <c r="L417" s="126" t="s">
        <v>142</v>
      </c>
      <c r="M417" s="126" t="s">
        <v>2673</v>
      </c>
      <c r="N417" s="427" t="s">
        <v>2674</v>
      </c>
      <c r="O417" s="126"/>
      <c r="P417" s="126"/>
      <c r="Q417" s="172"/>
    </row>
    <row r="418" spans="2:17" ht="20.100000000000001" customHeight="1">
      <c r="B418" s="161" t="s">
        <v>18</v>
      </c>
      <c r="C418" s="143">
        <v>46093</v>
      </c>
      <c r="D418" s="143">
        <v>46094</v>
      </c>
      <c r="E418" s="151"/>
      <c r="F418" s="162" t="s">
        <v>106</v>
      </c>
      <c r="G418" s="145" t="s">
        <v>2675</v>
      </c>
      <c r="H418" s="145">
        <v>30</v>
      </c>
      <c r="I418" s="145" t="s">
        <v>171</v>
      </c>
      <c r="J418" s="145" t="s">
        <v>72</v>
      </c>
      <c r="K418" s="145" t="s">
        <v>2676</v>
      </c>
      <c r="L418" s="145" t="s">
        <v>142</v>
      </c>
      <c r="M418" s="145" t="s">
        <v>2677</v>
      </c>
      <c r="N418" s="419" t="s">
        <v>2678</v>
      </c>
      <c r="O418" s="145" t="s">
        <v>2679</v>
      </c>
      <c r="P418" s="145"/>
      <c r="Q418" s="152"/>
    </row>
    <row r="419" spans="2:17" ht="20.100000000000001" customHeight="1">
      <c r="B419" s="161" t="s">
        <v>18</v>
      </c>
      <c r="C419" s="143">
        <v>46094</v>
      </c>
      <c r="D419" s="143">
        <v>46097</v>
      </c>
      <c r="E419" s="151"/>
      <c r="F419" s="162" t="s">
        <v>106</v>
      </c>
      <c r="G419" s="145" t="s">
        <v>2680</v>
      </c>
      <c r="H419" s="145">
        <v>15</v>
      </c>
      <c r="I419" s="145" t="s">
        <v>1049</v>
      </c>
      <c r="J419" s="145" t="s">
        <v>78</v>
      </c>
      <c r="K419" s="145" t="s">
        <v>2682</v>
      </c>
      <c r="L419" s="145" t="s">
        <v>142</v>
      </c>
      <c r="M419" s="145" t="s">
        <v>2681</v>
      </c>
      <c r="N419" s="419">
        <v>1029771851</v>
      </c>
      <c r="O419" s="145" t="s">
        <v>2683</v>
      </c>
      <c r="P419" s="145"/>
      <c r="Q419" s="152"/>
    </row>
    <row r="420" spans="2:17" ht="20.100000000000001" customHeight="1">
      <c r="B420" s="200" t="s">
        <v>18</v>
      </c>
      <c r="C420" s="201">
        <v>46097</v>
      </c>
      <c r="D420" s="201">
        <v>46099</v>
      </c>
      <c r="E420" s="202"/>
      <c r="F420" s="180" t="s">
        <v>103</v>
      </c>
      <c r="G420" s="176" t="s">
        <v>2684</v>
      </c>
      <c r="H420" s="176">
        <v>50</v>
      </c>
      <c r="I420" s="176" t="s">
        <v>1049</v>
      </c>
      <c r="J420" s="176" t="s">
        <v>72</v>
      </c>
      <c r="K420" s="176" t="s">
        <v>2685</v>
      </c>
      <c r="L420" s="176" t="s">
        <v>87</v>
      </c>
      <c r="M420" s="176" t="s">
        <v>2686</v>
      </c>
      <c r="N420" s="430">
        <v>1032433298</v>
      </c>
      <c r="O420" s="449" t="s">
        <v>2687</v>
      </c>
      <c r="P420" s="176"/>
      <c r="Q420" s="204"/>
    </row>
    <row r="421" spans="2:17" ht="20.100000000000001" customHeight="1">
      <c r="B421" s="200" t="s">
        <v>18</v>
      </c>
      <c r="C421" s="201">
        <v>46097</v>
      </c>
      <c r="D421" s="201">
        <v>46098</v>
      </c>
      <c r="E421" s="202"/>
      <c r="F421" s="180" t="s">
        <v>103</v>
      </c>
      <c r="G421" s="176" t="s">
        <v>2688</v>
      </c>
      <c r="H421" s="176">
        <v>30</v>
      </c>
      <c r="I421" s="176" t="s">
        <v>544</v>
      </c>
      <c r="J421" s="176" t="s">
        <v>78</v>
      </c>
      <c r="K421" s="176" t="s">
        <v>267</v>
      </c>
      <c r="L421" s="176" t="s">
        <v>87</v>
      </c>
      <c r="M421" s="176" t="s">
        <v>2689</v>
      </c>
      <c r="N421" s="430" t="s">
        <v>2690</v>
      </c>
      <c r="O421" s="449"/>
      <c r="P421" s="176"/>
      <c r="Q421" s="204"/>
    </row>
    <row r="422" spans="2:17" ht="20.100000000000001" customHeight="1">
      <c r="B422" s="200" t="s">
        <v>18</v>
      </c>
      <c r="C422" s="201">
        <v>46098</v>
      </c>
      <c r="D422" s="201">
        <v>46098</v>
      </c>
      <c r="E422" s="202"/>
      <c r="F422" s="180" t="s">
        <v>103</v>
      </c>
      <c r="G422" s="176" t="s">
        <v>2691</v>
      </c>
      <c r="H422" s="176">
        <v>27</v>
      </c>
      <c r="I422" s="176" t="s">
        <v>1253</v>
      </c>
      <c r="J422" s="176" t="s">
        <v>72</v>
      </c>
      <c r="K422" s="176" t="s">
        <v>2692</v>
      </c>
      <c r="L422" s="176" t="s">
        <v>87</v>
      </c>
      <c r="M422" s="176" t="s">
        <v>2693</v>
      </c>
      <c r="N422" s="430">
        <v>1085989676</v>
      </c>
      <c r="O422" s="449" t="s">
        <v>2694</v>
      </c>
      <c r="P422" s="176"/>
      <c r="Q422" s="204"/>
    </row>
    <row r="423" spans="2:17" ht="20.100000000000001" customHeight="1">
      <c r="B423" s="161" t="s">
        <v>18</v>
      </c>
      <c r="C423" s="143">
        <v>46100</v>
      </c>
      <c r="D423" s="143">
        <v>46101</v>
      </c>
      <c r="E423" s="151"/>
      <c r="F423" s="162" t="s">
        <v>106</v>
      </c>
      <c r="G423" s="145" t="s">
        <v>2728</v>
      </c>
      <c r="H423" s="145">
        <v>4</v>
      </c>
      <c r="I423" s="145" t="s">
        <v>34</v>
      </c>
      <c r="J423" s="145" t="s">
        <v>78</v>
      </c>
      <c r="K423" s="145" t="s">
        <v>2753</v>
      </c>
      <c r="L423" s="145" t="s">
        <v>142</v>
      </c>
      <c r="M423" s="145" t="s">
        <v>2754</v>
      </c>
      <c r="N423" s="419">
        <v>1031278388</v>
      </c>
      <c r="O423" s="145" t="s">
        <v>2755</v>
      </c>
      <c r="P423" s="145"/>
      <c r="Q423" s="152"/>
    </row>
    <row r="424" spans="2:17" ht="20.100000000000001" customHeight="1">
      <c r="B424" s="200" t="s">
        <v>18</v>
      </c>
      <c r="C424" s="201">
        <v>46100</v>
      </c>
      <c r="D424" s="201">
        <v>46101</v>
      </c>
      <c r="E424" s="202"/>
      <c r="F424" s="180" t="s">
        <v>103</v>
      </c>
      <c r="G424" s="176" t="s">
        <v>2756</v>
      </c>
      <c r="H424" s="176">
        <v>50</v>
      </c>
      <c r="I424" s="176" t="s">
        <v>580</v>
      </c>
      <c r="J424" s="176" t="s">
        <v>72</v>
      </c>
      <c r="K424" s="176" t="s">
        <v>2757</v>
      </c>
      <c r="L424" s="176" t="s">
        <v>87</v>
      </c>
      <c r="M424" s="176" t="s">
        <v>2758</v>
      </c>
      <c r="N424" s="430">
        <v>1059411240</v>
      </c>
      <c r="O424" s="449" t="s">
        <v>2759</v>
      </c>
      <c r="P424" s="176"/>
      <c r="Q424" s="204"/>
    </row>
    <row r="425" spans="2:17" ht="20.100000000000001" customHeight="1">
      <c r="B425" s="200" t="s">
        <v>18</v>
      </c>
      <c r="C425" s="201">
        <v>46101</v>
      </c>
      <c r="D425" s="201">
        <v>46104</v>
      </c>
      <c r="E425" s="202"/>
      <c r="F425" s="180" t="s">
        <v>103</v>
      </c>
      <c r="G425" s="176" t="s">
        <v>2760</v>
      </c>
      <c r="H425" s="176">
        <v>150</v>
      </c>
      <c r="I425" s="176" t="s">
        <v>209</v>
      </c>
      <c r="J425" s="176" t="s">
        <v>72</v>
      </c>
      <c r="K425" s="176" t="s">
        <v>2934</v>
      </c>
      <c r="L425" s="176" t="s">
        <v>87</v>
      </c>
      <c r="M425" s="176" t="s">
        <v>2693</v>
      </c>
      <c r="N425" s="430">
        <v>1023597095</v>
      </c>
      <c r="O425" s="449" t="s">
        <v>2761</v>
      </c>
      <c r="P425" s="176"/>
      <c r="Q425" s="204"/>
    </row>
    <row r="426" spans="2:17" ht="20.100000000000001" customHeight="1">
      <c r="B426" s="161" t="s">
        <v>18</v>
      </c>
      <c r="C426" s="143">
        <v>46104</v>
      </c>
      <c r="D426" s="143">
        <v>46105</v>
      </c>
      <c r="E426" s="151"/>
      <c r="F426" s="162" t="s">
        <v>106</v>
      </c>
      <c r="G426" s="145" t="s">
        <v>2739</v>
      </c>
      <c r="H426" s="145">
        <v>30</v>
      </c>
      <c r="I426" s="145" t="s">
        <v>114</v>
      </c>
      <c r="J426" s="145" t="s">
        <v>78</v>
      </c>
      <c r="K426" s="145" t="s">
        <v>2762</v>
      </c>
      <c r="L426" s="145" t="s">
        <v>142</v>
      </c>
      <c r="M426" s="145" t="s">
        <v>2763</v>
      </c>
      <c r="N426" s="419" t="s">
        <v>2764</v>
      </c>
      <c r="O426" s="145" t="s">
        <v>2765</v>
      </c>
      <c r="P426" s="145"/>
      <c r="Q426" s="152"/>
    </row>
    <row r="427" spans="2:17" ht="20.100000000000001" customHeight="1">
      <c r="B427" s="182" t="s">
        <v>18</v>
      </c>
      <c r="C427" s="183">
        <v>46108</v>
      </c>
      <c r="D427" s="183">
        <v>46111</v>
      </c>
      <c r="E427" s="184"/>
      <c r="F427" s="185" t="s">
        <v>112</v>
      </c>
      <c r="G427" s="186" t="s">
        <v>2766</v>
      </c>
      <c r="H427" s="186">
        <v>20</v>
      </c>
      <c r="I427" s="186" t="s">
        <v>2767</v>
      </c>
      <c r="J427" s="186" t="s">
        <v>78</v>
      </c>
      <c r="K427" s="186" t="s">
        <v>1228</v>
      </c>
      <c r="L427" s="186" t="s">
        <v>87</v>
      </c>
      <c r="M427" s="186" t="s">
        <v>2768</v>
      </c>
      <c r="N427" s="432">
        <v>1053206702</v>
      </c>
      <c r="O427" s="453" t="s">
        <v>2769</v>
      </c>
      <c r="P427" s="186"/>
      <c r="Q427" s="186"/>
    </row>
    <row r="428" spans="2:17" ht="20.100000000000001" customHeight="1">
      <c r="B428" s="161" t="s">
        <v>18</v>
      </c>
      <c r="C428" s="143">
        <v>46108</v>
      </c>
      <c r="D428" s="143">
        <v>46112</v>
      </c>
      <c r="E428" s="151"/>
      <c r="F428" s="162" t="s">
        <v>106</v>
      </c>
      <c r="G428" s="145" t="s">
        <v>2743</v>
      </c>
      <c r="H428" s="145">
        <v>5</v>
      </c>
      <c r="I428" s="145" t="s">
        <v>104</v>
      </c>
      <c r="J428" s="145" t="s">
        <v>78</v>
      </c>
      <c r="K428" s="145" t="s">
        <v>2770</v>
      </c>
      <c r="L428" s="145" t="s">
        <v>142</v>
      </c>
      <c r="M428" s="145" t="s">
        <v>2771</v>
      </c>
      <c r="N428" s="419">
        <v>1055442193</v>
      </c>
      <c r="O428" s="145" t="s">
        <v>2772</v>
      </c>
      <c r="P428" s="145"/>
      <c r="Q428" s="152"/>
    </row>
    <row r="429" spans="2:17" ht="20.100000000000001" customHeight="1">
      <c r="B429" s="51" t="s">
        <v>18</v>
      </c>
      <c r="C429" s="32">
        <v>46112</v>
      </c>
      <c r="D429" s="32">
        <v>46118</v>
      </c>
      <c r="E429" s="27"/>
      <c r="F429" s="98" t="s">
        <v>103</v>
      </c>
      <c r="G429" s="34" t="s">
        <v>2773</v>
      </c>
      <c r="H429" s="34">
        <v>30</v>
      </c>
      <c r="I429" s="34" t="s">
        <v>2774</v>
      </c>
      <c r="J429" s="34" t="s">
        <v>78</v>
      </c>
      <c r="K429" s="34" t="s">
        <v>2935</v>
      </c>
      <c r="L429" s="34" t="s">
        <v>87</v>
      </c>
      <c r="M429" s="34" t="s">
        <v>2775</v>
      </c>
      <c r="N429" s="422" t="s">
        <v>2776</v>
      </c>
      <c r="O429" s="57" t="s">
        <v>2777</v>
      </c>
      <c r="P429" s="34"/>
      <c r="Q429" s="34"/>
    </row>
    <row r="430" spans="2:17" ht="20.100000000000001" customHeight="1">
      <c r="B430" s="133" t="s">
        <v>18</v>
      </c>
      <c r="C430" s="134">
        <v>46114</v>
      </c>
      <c r="D430" s="134">
        <v>46118</v>
      </c>
      <c r="E430" s="133"/>
      <c r="F430" s="133" t="s">
        <v>37</v>
      </c>
      <c r="G430" s="133" t="s">
        <v>2778</v>
      </c>
      <c r="H430" s="133">
        <v>350</v>
      </c>
      <c r="I430" s="133" t="s">
        <v>956</v>
      </c>
      <c r="J430" s="133" t="s">
        <v>78</v>
      </c>
      <c r="K430" s="493" t="s">
        <v>2936</v>
      </c>
      <c r="L430" s="133" t="s">
        <v>142</v>
      </c>
      <c r="M430" s="133" t="s">
        <v>2779</v>
      </c>
      <c r="N430" s="133">
        <v>1021230296</v>
      </c>
      <c r="O430" s="133" t="s">
        <v>2780</v>
      </c>
      <c r="P430" s="133"/>
      <c r="Q430" s="133"/>
    </row>
    <row r="431" spans="2:17" ht="20.100000000000001" customHeight="1">
      <c r="B431" s="51" t="s">
        <v>18</v>
      </c>
      <c r="C431" s="32">
        <v>46114</v>
      </c>
      <c r="D431" s="32">
        <v>46118</v>
      </c>
      <c r="E431" s="27"/>
      <c r="F431" s="98" t="s">
        <v>103</v>
      </c>
      <c r="G431" s="34" t="s">
        <v>2781</v>
      </c>
      <c r="H431" s="34">
        <v>60</v>
      </c>
      <c r="I431" s="34" t="s">
        <v>114</v>
      </c>
      <c r="J431" s="34" t="s">
        <v>78</v>
      </c>
      <c r="K431" s="34" t="s">
        <v>267</v>
      </c>
      <c r="L431" s="34" t="s">
        <v>87</v>
      </c>
      <c r="M431" s="34" t="s">
        <v>2782</v>
      </c>
      <c r="N431" s="422" t="s">
        <v>2783</v>
      </c>
      <c r="O431" s="57" t="s">
        <v>2784</v>
      </c>
      <c r="P431" s="34"/>
      <c r="Q431" s="34"/>
    </row>
    <row r="432" spans="2:17" ht="20.100000000000001" customHeight="1">
      <c r="B432" s="182" t="s">
        <v>18</v>
      </c>
      <c r="C432" s="183">
        <v>46114</v>
      </c>
      <c r="D432" s="183">
        <v>46118</v>
      </c>
      <c r="E432" s="184"/>
      <c r="F432" s="185" t="s">
        <v>112</v>
      </c>
      <c r="G432" s="186" t="s">
        <v>2785</v>
      </c>
      <c r="H432" s="186">
        <v>30</v>
      </c>
      <c r="I432" s="186" t="s">
        <v>114</v>
      </c>
      <c r="J432" s="186" t="s">
        <v>78</v>
      </c>
      <c r="K432" s="186" t="s">
        <v>267</v>
      </c>
      <c r="L432" s="186" t="s">
        <v>87</v>
      </c>
      <c r="M432" s="186" t="s">
        <v>2786</v>
      </c>
      <c r="N432" s="432" t="s">
        <v>2787</v>
      </c>
      <c r="O432" s="453" t="s">
        <v>2788</v>
      </c>
      <c r="P432" s="186"/>
      <c r="Q432" s="186"/>
    </row>
    <row r="433" spans="2:17" ht="20.100000000000001" customHeight="1">
      <c r="B433" s="51" t="s">
        <v>13</v>
      </c>
      <c r="C433" s="32">
        <v>46118</v>
      </c>
      <c r="D433" s="32">
        <v>46119</v>
      </c>
      <c r="E433" s="27"/>
      <c r="F433" s="98" t="s">
        <v>103</v>
      </c>
      <c r="G433" s="34" t="s">
        <v>2789</v>
      </c>
      <c r="H433" s="34">
        <v>200</v>
      </c>
      <c r="I433" s="34" t="s">
        <v>114</v>
      </c>
      <c r="J433" s="34" t="s">
        <v>78</v>
      </c>
      <c r="K433" s="35" t="s">
        <v>2937</v>
      </c>
      <c r="L433" s="34" t="s">
        <v>87</v>
      </c>
      <c r="M433" s="34" t="s">
        <v>2790</v>
      </c>
      <c r="N433" s="422" t="s">
        <v>2791</v>
      </c>
      <c r="O433" s="57" t="s">
        <v>2792</v>
      </c>
      <c r="P433" s="34"/>
      <c r="Q433" s="34"/>
    </row>
    <row r="434" spans="2:17" ht="20.100000000000001" customHeight="1">
      <c r="B434" s="161" t="s">
        <v>13</v>
      </c>
      <c r="C434" s="143">
        <v>46119</v>
      </c>
      <c r="D434" s="143">
        <v>46120</v>
      </c>
      <c r="E434" s="151"/>
      <c r="F434" s="162" t="s">
        <v>106</v>
      </c>
      <c r="G434" s="145" t="s">
        <v>2938</v>
      </c>
      <c r="H434" s="145">
        <v>11</v>
      </c>
      <c r="I434" s="145" t="s">
        <v>835</v>
      </c>
      <c r="J434" s="145" t="s">
        <v>78</v>
      </c>
      <c r="K434" s="145" t="s">
        <v>2939</v>
      </c>
      <c r="L434" s="145" t="s">
        <v>142</v>
      </c>
      <c r="M434" s="145" t="s">
        <v>2940</v>
      </c>
      <c r="N434" s="419">
        <v>1091107117</v>
      </c>
      <c r="O434" s="145" t="s">
        <v>2941</v>
      </c>
      <c r="P434" s="145"/>
      <c r="Q434" s="152"/>
    </row>
    <row r="435" spans="2:17" ht="20.100000000000001" customHeight="1">
      <c r="B435" s="161" t="s">
        <v>13</v>
      </c>
      <c r="C435" s="143">
        <v>46121</v>
      </c>
      <c r="D435" s="143">
        <v>46122</v>
      </c>
      <c r="E435" s="151"/>
      <c r="F435" s="162" t="s">
        <v>106</v>
      </c>
      <c r="G435" s="145" t="s">
        <v>2925</v>
      </c>
      <c r="H435" s="145">
        <v>10</v>
      </c>
      <c r="I435" s="145" t="s">
        <v>299</v>
      </c>
      <c r="J435" s="145" t="s">
        <v>72</v>
      </c>
      <c r="K435" s="145" t="s">
        <v>2624</v>
      </c>
      <c r="L435" s="145" t="s">
        <v>142</v>
      </c>
      <c r="M435" s="145" t="s">
        <v>2942</v>
      </c>
      <c r="N435" s="419" t="s">
        <v>2943</v>
      </c>
      <c r="O435" s="145" t="s">
        <v>2944</v>
      </c>
      <c r="P435" s="145"/>
      <c r="Q435" s="152"/>
    </row>
    <row r="436" spans="2:17" s="557" customFormat="1" ht="20.100000000000001" customHeight="1">
      <c r="B436" s="200" t="s">
        <v>13</v>
      </c>
      <c r="C436" s="201">
        <v>46120</v>
      </c>
      <c r="D436" s="201">
        <v>46121</v>
      </c>
      <c r="E436" s="202"/>
      <c r="F436" s="180" t="s">
        <v>103</v>
      </c>
      <c r="G436" s="176" t="s">
        <v>2967</v>
      </c>
      <c r="H436" s="176">
        <v>10</v>
      </c>
      <c r="I436" s="176" t="s">
        <v>2975</v>
      </c>
      <c r="J436" s="176" t="s">
        <v>72</v>
      </c>
      <c r="K436" s="176" t="s">
        <v>267</v>
      </c>
      <c r="L436" s="34" t="s">
        <v>87</v>
      </c>
      <c r="M436" s="176" t="s">
        <v>2968</v>
      </c>
      <c r="N436" s="430" t="s">
        <v>2969</v>
      </c>
      <c r="O436" s="558" t="s">
        <v>2970</v>
      </c>
      <c r="P436" s="176"/>
      <c r="Q436" s="176"/>
    </row>
    <row r="437" spans="2:17" s="557" customFormat="1" ht="20.100000000000001" customHeight="1">
      <c r="B437" s="200" t="s">
        <v>13</v>
      </c>
      <c r="C437" s="201">
        <v>46121</v>
      </c>
      <c r="D437" s="201">
        <v>46122</v>
      </c>
      <c r="E437" s="202"/>
      <c r="F437" s="180" t="s">
        <v>103</v>
      </c>
      <c r="G437" s="176" t="s">
        <v>2971</v>
      </c>
      <c r="H437" s="176">
        <v>40</v>
      </c>
      <c r="I437" s="176" t="s">
        <v>375</v>
      </c>
      <c r="J437" s="176" t="s">
        <v>72</v>
      </c>
      <c r="K437" s="176" t="s">
        <v>2278</v>
      </c>
      <c r="L437" s="34" t="s">
        <v>87</v>
      </c>
      <c r="M437" s="176" t="s">
        <v>2972</v>
      </c>
      <c r="N437" s="430">
        <v>1082954066</v>
      </c>
      <c r="O437" s="558" t="s">
        <v>2973</v>
      </c>
      <c r="P437" s="176"/>
      <c r="Q437" s="176"/>
    </row>
    <row r="438" spans="2:17" s="557" customFormat="1" ht="20.100000000000001" customHeight="1">
      <c r="B438" s="200" t="s">
        <v>13</v>
      </c>
      <c r="C438" s="201">
        <v>46121</v>
      </c>
      <c r="D438" s="201">
        <v>46122</v>
      </c>
      <c r="E438" s="202"/>
      <c r="F438" s="180" t="s">
        <v>103</v>
      </c>
      <c r="G438" s="176" t="s">
        <v>2974</v>
      </c>
      <c r="H438" s="176">
        <v>180</v>
      </c>
      <c r="I438" s="176" t="s">
        <v>2979</v>
      </c>
      <c r="J438" s="176" t="s">
        <v>72</v>
      </c>
      <c r="K438" s="176" t="s">
        <v>2976</v>
      </c>
      <c r="L438" s="34" t="s">
        <v>87</v>
      </c>
      <c r="M438" s="176" t="s">
        <v>2977</v>
      </c>
      <c r="N438" s="430">
        <v>1091514878</v>
      </c>
      <c r="O438" s="558" t="s">
        <v>2978</v>
      </c>
      <c r="P438" s="176"/>
      <c r="Q438" s="176" t="s">
        <v>2602</v>
      </c>
    </row>
    <row r="439" spans="2:17" ht="20.100000000000001" customHeight="1">
      <c r="B439" s="161" t="s">
        <v>13</v>
      </c>
      <c r="C439" s="143">
        <v>46121</v>
      </c>
      <c r="D439" s="143">
        <v>46122</v>
      </c>
      <c r="E439" s="151"/>
      <c r="F439" s="162" t="s">
        <v>106</v>
      </c>
      <c r="G439" s="145" t="s">
        <v>2961</v>
      </c>
      <c r="H439" s="145">
        <v>4</v>
      </c>
      <c r="I439" s="145" t="s">
        <v>104</v>
      </c>
      <c r="J439" s="145" t="s">
        <v>78</v>
      </c>
      <c r="K439" s="145" t="s">
        <v>2981</v>
      </c>
      <c r="L439" s="145" t="s">
        <v>142</v>
      </c>
      <c r="M439" s="145" t="s">
        <v>2365</v>
      </c>
      <c r="N439" s="419">
        <v>1098441551</v>
      </c>
      <c r="O439" s="145" t="s">
        <v>2980</v>
      </c>
      <c r="P439" s="145"/>
      <c r="Q439" s="152"/>
    </row>
    <row r="440" spans="2:17" ht="20.100000000000001" customHeight="1">
      <c r="B440" s="182" t="s">
        <v>13</v>
      </c>
      <c r="C440" s="183">
        <v>46121</v>
      </c>
      <c r="D440" s="183">
        <v>46122</v>
      </c>
      <c r="E440" s="184"/>
      <c r="F440" s="185" t="s">
        <v>112</v>
      </c>
      <c r="G440" s="186" t="s">
        <v>2982</v>
      </c>
      <c r="H440" s="186">
        <v>100</v>
      </c>
      <c r="I440" s="186" t="s">
        <v>1284</v>
      </c>
      <c r="J440" s="186" t="s">
        <v>78</v>
      </c>
      <c r="K440" s="186" t="s">
        <v>2983</v>
      </c>
      <c r="L440" s="186" t="s">
        <v>87</v>
      </c>
      <c r="M440" s="186" t="s">
        <v>2984</v>
      </c>
      <c r="N440" s="432">
        <v>1090213146</v>
      </c>
      <c r="O440" s="453" t="s">
        <v>2985</v>
      </c>
      <c r="P440" s="186"/>
      <c r="Q440" s="186"/>
    </row>
    <row r="441" spans="2:17" s="557" customFormat="1" ht="20.100000000000001" customHeight="1">
      <c r="B441" s="200" t="s">
        <v>13</v>
      </c>
      <c r="C441" s="201">
        <v>46125</v>
      </c>
      <c r="D441" s="201">
        <v>46126</v>
      </c>
      <c r="E441" s="202"/>
      <c r="F441" s="180" t="s">
        <v>103</v>
      </c>
      <c r="G441" s="176" t="s">
        <v>2986</v>
      </c>
      <c r="H441" s="176">
        <v>10</v>
      </c>
      <c r="I441" s="176" t="s">
        <v>2987</v>
      </c>
      <c r="J441" s="176" t="s">
        <v>72</v>
      </c>
      <c r="K441" s="176" t="s">
        <v>267</v>
      </c>
      <c r="L441" s="34" t="s">
        <v>87</v>
      </c>
      <c r="M441" s="176" t="s">
        <v>506</v>
      </c>
      <c r="N441" s="430">
        <v>1030362255</v>
      </c>
      <c r="O441" s="558" t="s">
        <v>2988</v>
      </c>
      <c r="P441" s="176"/>
      <c r="Q441" s="176"/>
    </row>
    <row r="442" spans="2:17" s="557" customFormat="1" ht="20.100000000000001" customHeight="1">
      <c r="B442" s="200" t="s">
        <v>13</v>
      </c>
      <c r="C442" s="201">
        <v>46125</v>
      </c>
      <c r="D442" s="201">
        <v>46126</v>
      </c>
      <c r="E442" s="202"/>
      <c r="F442" s="180" t="s">
        <v>103</v>
      </c>
      <c r="G442" s="176" t="s">
        <v>2989</v>
      </c>
      <c r="H442" s="176">
        <v>10</v>
      </c>
      <c r="I442" s="176" t="s">
        <v>375</v>
      </c>
      <c r="J442" s="176" t="s">
        <v>72</v>
      </c>
      <c r="K442" s="176" t="s">
        <v>2993</v>
      </c>
      <c r="L442" s="34" t="s">
        <v>87</v>
      </c>
      <c r="M442" s="176" t="s">
        <v>2990</v>
      </c>
      <c r="N442" s="430" t="s">
        <v>2991</v>
      </c>
      <c r="O442" s="558" t="s">
        <v>2992</v>
      </c>
      <c r="P442" s="176"/>
      <c r="Q442" s="176"/>
    </row>
    <row r="443" spans="2:17" s="557" customFormat="1" ht="20.100000000000001" customHeight="1">
      <c r="B443" s="200" t="s">
        <v>13</v>
      </c>
      <c r="C443" s="201">
        <v>46127</v>
      </c>
      <c r="D443" s="201">
        <v>46127</v>
      </c>
      <c r="E443" s="202"/>
      <c r="F443" s="180" t="s">
        <v>103</v>
      </c>
      <c r="G443" s="176" t="s">
        <v>2994</v>
      </c>
      <c r="H443" s="176">
        <v>340</v>
      </c>
      <c r="I443" s="176" t="s">
        <v>178</v>
      </c>
      <c r="J443" s="176" t="s">
        <v>72</v>
      </c>
      <c r="K443" s="176" t="s">
        <v>2995</v>
      </c>
      <c r="L443" s="34" t="s">
        <v>87</v>
      </c>
      <c r="M443" s="176" t="s">
        <v>2996</v>
      </c>
      <c r="N443" s="430">
        <v>1040473176</v>
      </c>
      <c r="O443" s="558" t="s">
        <v>2997</v>
      </c>
      <c r="P443" s="176"/>
      <c r="Q443" s="176"/>
    </row>
    <row r="444" spans="2:17" ht="20.100000000000001" customHeight="1">
      <c r="B444" s="182" t="s">
        <v>13</v>
      </c>
      <c r="C444" s="183">
        <v>46126</v>
      </c>
      <c r="D444" s="183">
        <v>46126</v>
      </c>
      <c r="E444" s="184"/>
      <c r="F444" s="185" t="s">
        <v>112</v>
      </c>
      <c r="G444" s="186" t="s">
        <v>2964</v>
      </c>
      <c r="H444" s="186">
        <v>15</v>
      </c>
      <c r="I444" s="186" t="s">
        <v>171</v>
      </c>
      <c r="J444" s="186" t="s">
        <v>78</v>
      </c>
      <c r="K444" s="186" t="s">
        <v>2682</v>
      </c>
      <c r="L444" s="186" t="s">
        <v>87</v>
      </c>
      <c r="M444" s="186" t="s">
        <v>2998</v>
      </c>
      <c r="N444" s="432" t="s">
        <v>2999</v>
      </c>
      <c r="O444" s="453" t="s">
        <v>3000</v>
      </c>
      <c r="P444" s="186"/>
      <c r="Q444" s="186"/>
    </row>
    <row r="445" spans="2:17" ht="20.100000000000001" customHeight="1">
      <c r="B445" s="161" t="s">
        <v>13</v>
      </c>
      <c r="C445" s="143">
        <v>46128</v>
      </c>
      <c r="D445" s="143">
        <v>46134</v>
      </c>
      <c r="E445" s="151"/>
      <c r="F445" s="162" t="s">
        <v>106</v>
      </c>
      <c r="G445" s="145" t="s">
        <v>3001</v>
      </c>
      <c r="H445" s="145">
        <v>5</v>
      </c>
      <c r="I445" s="145" t="s">
        <v>544</v>
      </c>
      <c r="J445" s="145" t="s">
        <v>78</v>
      </c>
      <c r="K445" s="145" t="s">
        <v>3002</v>
      </c>
      <c r="L445" s="145" t="s">
        <v>142</v>
      </c>
      <c r="M445" s="145" t="s">
        <v>3003</v>
      </c>
      <c r="N445" s="419">
        <v>1020670097</v>
      </c>
      <c r="O445" s="145" t="s">
        <v>3004</v>
      </c>
      <c r="P445" s="145"/>
      <c r="Q445" s="152"/>
    </row>
    <row r="446" spans="2:17" s="557" customFormat="1" ht="20.100000000000001" customHeight="1">
      <c r="B446" s="200" t="s">
        <v>13</v>
      </c>
      <c r="C446" s="201">
        <v>46129</v>
      </c>
      <c r="D446" s="201">
        <v>46129</v>
      </c>
      <c r="E446" s="202"/>
      <c r="F446" s="180" t="s">
        <v>103</v>
      </c>
      <c r="G446" s="176" t="s">
        <v>3005</v>
      </c>
      <c r="H446" s="176">
        <v>120</v>
      </c>
      <c r="I446" s="176" t="s">
        <v>255</v>
      </c>
      <c r="J446" s="176" t="s">
        <v>72</v>
      </c>
      <c r="K446" s="176" t="s">
        <v>3007</v>
      </c>
      <c r="L446" s="34" t="s">
        <v>87</v>
      </c>
      <c r="M446" s="176" t="s">
        <v>3008</v>
      </c>
      <c r="N446" s="430">
        <v>1071529827</v>
      </c>
      <c r="O446" s="558" t="s">
        <v>3006</v>
      </c>
      <c r="P446" s="176"/>
      <c r="Q446" s="176"/>
    </row>
    <row r="447" spans="2:17" s="557" customFormat="1" ht="20.100000000000001" customHeight="1">
      <c r="B447" s="200" t="s">
        <v>13</v>
      </c>
      <c r="C447" s="201">
        <v>46129</v>
      </c>
      <c r="D447" s="201">
        <v>46132</v>
      </c>
      <c r="E447" s="202"/>
      <c r="F447" s="180" t="s">
        <v>103</v>
      </c>
      <c r="G447" s="176" t="s">
        <v>3009</v>
      </c>
      <c r="H447" s="176">
        <v>20</v>
      </c>
      <c r="I447" s="176" t="s">
        <v>114</v>
      </c>
      <c r="J447" s="176" t="s">
        <v>72</v>
      </c>
      <c r="K447" s="176" t="s">
        <v>3010</v>
      </c>
      <c r="L447" s="34" t="s">
        <v>87</v>
      </c>
      <c r="M447" s="176" t="s">
        <v>3011</v>
      </c>
      <c r="N447" s="430">
        <v>1093817995</v>
      </c>
      <c r="O447" s="558" t="s">
        <v>3012</v>
      </c>
      <c r="P447" s="176"/>
      <c r="Q447" s="176"/>
    </row>
    <row r="448" spans="2:17" ht="20.100000000000001" customHeight="1">
      <c r="B448" s="161" t="s">
        <v>13</v>
      </c>
      <c r="C448" s="143">
        <v>46129</v>
      </c>
      <c r="D448" s="143">
        <v>46132</v>
      </c>
      <c r="E448" s="151"/>
      <c r="F448" s="162" t="s">
        <v>106</v>
      </c>
      <c r="G448" s="145" t="s">
        <v>2945</v>
      </c>
      <c r="H448" s="145">
        <v>40</v>
      </c>
      <c r="I448" s="145" t="s">
        <v>34</v>
      </c>
      <c r="J448" s="145" t="s">
        <v>72</v>
      </c>
      <c r="K448" s="145" t="s">
        <v>3013</v>
      </c>
      <c r="L448" s="145" t="s">
        <v>142</v>
      </c>
      <c r="M448" s="145" t="s">
        <v>3014</v>
      </c>
      <c r="N448" s="419">
        <v>1098393176</v>
      </c>
      <c r="O448" s="145" t="s">
        <v>3015</v>
      </c>
      <c r="P448" s="145"/>
      <c r="Q448" s="152"/>
    </row>
    <row r="449" spans="2:17" s="557" customFormat="1" ht="20.100000000000001" customHeight="1">
      <c r="B449" s="200" t="s">
        <v>13</v>
      </c>
      <c r="C449" s="201">
        <v>46133</v>
      </c>
      <c r="D449" s="201">
        <v>46133</v>
      </c>
      <c r="E449" s="202"/>
      <c r="F449" s="180" t="s">
        <v>103</v>
      </c>
      <c r="G449" s="176" t="s">
        <v>3016</v>
      </c>
      <c r="H449" s="176">
        <v>30</v>
      </c>
      <c r="I449" s="176" t="s">
        <v>867</v>
      </c>
      <c r="J449" s="176" t="s">
        <v>72</v>
      </c>
      <c r="K449" s="176" t="s">
        <v>267</v>
      </c>
      <c r="L449" s="176" t="s">
        <v>87</v>
      </c>
      <c r="M449" s="176" t="s">
        <v>3017</v>
      </c>
      <c r="N449" s="430">
        <v>1093998206</v>
      </c>
      <c r="O449" s="558" t="s">
        <v>3018</v>
      </c>
      <c r="P449" s="176"/>
      <c r="Q449" s="176"/>
    </row>
    <row r="450" spans="2:17" s="557" customFormat="1" ht="20.100000000000001" customHeight="1">
      <c r="B450" s="200" t="s">
        <v>13</v>
      </c>
      <c r="C450" s="201">
        <v>46135</v>
      </c>
      <c r="D450" s="201">
        <v>46135</v>
      </c>
      <c r="E450" s="202"/>
      <c r="F450" s="180" t="s">
        <v>103</v>
      </c>
      <c r="G450" s="176" t="s">
        <v>3019</v>
      </c>
      <c r="H450" s="176">
        <v>270</v>
      </c>
      <c r="I450" s="176" t="s">
        <v>226</v>
      </c>
      <c r="J450" s="176" t="s">
        <v>72</v>
      </c>
      <c r="K450" s="176" t="s">
        <v>3020</v>
      </c>
      <c r="L450" s="176" t="s">
        <v>87</v>
      </c>
      <c r="M450" s="176" t="s">
        <v>3021</v>
      </c>
      <c r="N450" s="430">
        <v>1027116774</v>
      </c>
      <c r="O450" s="558" t="s">
        <v>3022</v>
      </c>
      <c r="P450" s="176"/>
      <c r="Q450" s="176"/>
    </row>
    <row r="451" spans="2:17" s="557" customFormat="1" ht="20.100000000000001" customHeight="1">
      <c r="B451" s="200" t="s">
        <v>13</v>
      </c>
      <c r="C451" s="201">
        <v>46136</v>
      </c>
      <c r="D451" s="201">
        <v>46139</v>
      </c>
      <c r="E451" s="202"/>
      <c r="F451" s="180" t="s">
        <v>103</v>
      </c>
      <c r="G451" s="176" t="s">
        <v>3023</v>
      </c>
      <c r="H451" s="176">
        <v>40</v>
      </c>
      <c r="I451" s="176" t="s">
        <v>284</v>
      </c>
      <c r="J451" s="176" t="s">
        <v>72</v>
      </c>
      <c r="K451" s="176" t="s">
        <v>267</v>
      </c>
      <c r="L451" s="176" t="s">
        <v>87</v>
      </c>
      <c r="M451" s="176" t="s">
        <v>3024</v>
      </c>
      <c r="N451" s="430">
        <v>1040862004</v>
      </c>
      <c r="O451" s="558" t="s">
        <v>3025</v>
      </c>
      <c r="P451" s="176"/>
      <c r="Q451" s="176"/>
    </row>
    <row r="452" spans="2:17" s="557" customFormat="1" ht="20.100000000000001" customHeight="1">
      <c r="B452" s="200" t="s">
        <v>13</v>
      </c>
      <c r="C452" s="201">
        <v>46136</v>
      </c>
      <c r="D452" s="201">
        <v>46139</v>
      </c>
      <c r="E452" s="202"/>
      <c r="F452" s="180" t="s">
        <v>103</v>
      </c>
      <c r="G452" s="176" t="s">
        <v>3026</v>
      </c>
      <c r="H452" s="176">
        <v>150</v>
      </c>
      <c r="I452" s="176" t="s">
        <v>255</v>
      </c>
      <c r="J452" s="176" t="s">
        <v>72</v>
      </c>
      <c r="K452" s="176" t="s">
        <v>3027</v>
      </c>
      <c r="L452" s="176" t="s">
        <v>87</v>
      </c>
      <c r="M452" s="176" t="s">
        <v>3028</v>
      </c>
      <c r="N452" s="430">
        <v>1024417928</v>
      </c>
      <c r="O452" s="558"/>
      <c r="P452" s="176"/>
      <c r="Q452" s="176"/>
    </row>
    <row r="453" spans="2:17" s="557" customFormat="1" ht="20.100000000000001" customHeight="1">
      <c r="B453" s="200" t="s">
        <v>13</v>
      </c>
      <c r="C453" s="201">
        <v>46140</v>
      </c>
      <c r="D453" s="201">
        <v>46141</v>
      </c>
      <c r="E453" s="202"/>
      <c r="F453" s="180" t="s">
        <v>103</v>
      </c>
      <c r="G453" s="176" t="s">
        <v>3029</v>
      </c>
      <c r="H453" s="176">
        <v>8</v>
      </c>
      <c r="I453" s="176" t="s">
        <v>324</v>
      </c>
      <c r="J453" s="176" t="s">
        <v>72</v>
      </c>
      <c r="K453" s="176" t="s">
        <v>3033</v>
      </c>
      <c r="L453" s="176" t="s">
        <v>87</v>
      </c>
      <c r="M453" s="176" t="s">
        <v>3031</v>
      </c>
      <c r="N453" s="430" t="s">
        <v>3032</v>
      </c>
      <c r="O453" s="558" t="s">
        <v>3030</v>
      </c>
      <c r="P453" s="176"/>
      <c r="Q453" s="176"/>
    </row>
    <row r="454" spans="2:17" ht="20.100000000000001" customHeight="1">
      <c r="B454" s="182" t="s">
        <v>23</v>
      </c>
      <c r="C454" s="183">
        <v>46143</v>
      </c>
      <c r="D454" s="183">
        <v>46146</v>
      </c>
      <c r="E454" s="184"/>
      <c r="F454" s="185" t="s">
        <v>112</v>
      </c>
      <c r="G454" s="186" t="s">
        <v>3034</v>
      </c>
      <c r="H454" s="186">
        <v>70</v>
      </c>
      <c r="I454" s="186" t="s">
        <v>1089</v>
      </c>
      <c r="J454" s="186" t="s">
        <v>78</v>
      </c>
      <c r="K454" s="186" t="s">
        <v>3035</v>
      </c>
      <c r="L454" s="186" t="s">
        <v>87</v>
      </c>
      <c r="M454" s="186" t="s">
        <v>3036</v>
      </c>
      <c r="N454" s="432">
        <v>552443531</v>
      </c>
      <c r="O454" s="453" t="s">
        <v>3037</v>
      </c>
      <c r="P454" s="186"/>
      <c r="Q454" s="186"/>
    </row>
    <row r="455" spans="2:17" s="557" customFormat="1" ht="20.100000000000001" customHeight="1">
      <c r="B455" s="200" t="s">
        <v>23</v>
      </c>
      <c r="C455" s="201">
        <v>46146</v>
      </c>
      <c r="D455" s="201">
        <v>46146</v>
      </c>
      <c r="E455" s="202"/>
      <c r="F455" s="180" t="s">
        <v>103</v>
      </c>
      <c r="G455" s="176" t="s">
        <v>3038</v>
      </c>
      <c r="H455" s="176">
        <v>23</v>
      </c>
      <c r="I455" s="176" t="s">
        <v>3040</v>
      </c>
      <c r="J455" s="176" t="s">
        <v>72</v>
      </c>
      <c r="K455" s="176" t="s">
        <v>3039</v>
      </c>
      <c r="L455" s="176" t="s">
        <v>87</v>
      </c>
      <c r="M455" s="176" t="s">
        <v>3041</v>
      </c>
      <c r="N455" s="430" t="s">
        <v>3042</v>
      </c>
      <c r="O455" s="558" t="s">
        <v>3043</v>
      </c>
      <c r="P455" s="176"/>
      <c r="Q455" s="176"/>
    </row>
  </sheetData>
  <autoFilter ref="A13:Q422" xr:uid="{00000000-0009-0000-0000-000008000000}"/>
  <mergeCells count="6">
    <mergeCell ref="Q12:Q13"/>
    <mergeCell ref="B12:F12"/>
    <mergeCell ref="P12:P13"/>
    <mergeCell ref="G12:I12"/>
    <mergeCell ref="J12:K12"/>
    <mergeCell ref="M12:O12"/>
  </mergeCells>
  <phoneticPr fontId="3" type="noConversion"/>
  <dataValidations count="1">
    <dataValidation type="list" allowBlank="1" showInputMessage="1" showErrorMessage="1" sqref="L303:L1048576" xr:uid="{C719824F-A42E-4B2B-A2C4-D21B7D0B3106}">
      <formula1>"인바운드, 아웃바운드"</formula1>
    </dataValidation>
  </dataValidations>
  <hyperlinks>
    <hyperlink ref="O326" r:id="rId1" xr:uid="{CB76827A-54A0-4F9B-896D-5DE96DE38E60}"/>
    <hyperlink ref="O327" r:id="rId2" xr:uid="{D9524F63-A6E9-4C66-B733-845F72DB8D01}"/>
    <hyperlink ref="O328" r:id="rId3" xr:uid="{B0FBFE25-EF96-46E0-9FF9-FCAFDB02A0F2}"/>
    <hyperlink ref="O330" r:id="rId4" xr:uid="{3DFCFABB-BA6C-4AFE-9145-66FFAAB2A805}"/>
    <hyperlink ref="O331" r:id="rId5" xr:uid="{57C95803-0AC5-4076-BC31-E000EECA42DF}"/>
    <hyperlink ref="O332" r:id="rId6" xr:uid="{EF4812FF-C476-47F6-AB16-104CBDC5FA0C}"/>
    <hyperlink ref="O333" r:id="rId7" xr:uid="{5645B1CF-DF26-43BE-8421-3103BCCED436}"/>
    <hyperlink ref="O336" r:id="rId8" xr:uid="{169F416A-63EC-4C31-9D77-7A57D761C253}"/>
    <hyperlink ref="O335" r:id="rId9" xr:uid="{5BDDE5A2-908D-45FB-88AE-801EBD27872E}"/>
    <hyperlink ref="O337" r:id="rId10" xr:uid="{EC833334-B614-4B96-AE9C-9D7B67F8E87B}"/>
    <hyperlink ref="O338" r:id="rId11" xr:uid="{6F69661E-7512-4621-827F-2DA4D2D41644}"/>
    <hyperlink ref="O339" r:id="rId12" xr:uid="{3B425027-562A-4347-B553-0A02DA8B29E1}"/>
    <hyperlink ref="O340" r:id="rId13" xr:uid="{75DEC905-8F8C-4372-839B-51FA71FA9C1C}"/>
    <hyperlink ref="O341" r:id="rId14" xr:uid="{1145F32C-AA4D-42EB-9AAC-20828ADAF61B}"/>
    <hyperlink ref="O342" r:id="rId15" xr:uid="{FD1A5748-53E0-4C95-BE65-EF115CC4D4F2}"/>
    <hyperlink ref="O348" r:id="rId16" xr:uid="{14F63CFF-84A3-480F-BFF2-2884C8B7A8B4}"/>
    <hyperlink ref="O350" r:id="rId17" xr:uid="{47753220-AA69-40C0-93D6-1B4B294274FB}"/>
    <hyperlink ref="O352" r:id="rId18" xr:uid="{64E5EAE3-8281-41C9-8C17-2184214885B6}"/>
    <hyperlink ref="O354" r:id="rId19" xr:uid="{F15B61E5-7BA7-4B70-B34D-862765A04274}"/>
    <hyperlink ref="O355" r:id="rId20" xr:uid="{CB5950BE-0FA3-440E-89EA-9ACF188666F2}"/>
    <hyperlink ref="O356" r:id="rId21" xr:uid="{439FFBB9-9584-4D7C-8FDD-A0AC8E647A52}"/>
    <hyperlink ref="O359" r:id="rId22" xr:uid="{84575D11-C53B-436F-84C6-BA47B59AE087}"/>
    <hyperlink ref="O368" r:id="rId23" xr:uid="{60CC488F-34B6-4A7E-AD2F-A3106CE56AED}"/>
    <hyperlink ref="O370" r:id="rId24" xr:uid="{F5C9CC81-1297-43C1-8977-AC713BE00A73}"/>
    <hyperlink ref="O371" r:id="rId25" xr:uid="{7358DD25-006E-4877-8C84-AFF6EB83F9FD}"/>
    <hyperlink ref="O373" r:id="rId26" xr:uid="{1B006D74-4C3E-42C1-997B-54EB1DEECB60}"/>
    <hyperlink ref="O374" r:id="rId27" xr:uid="{23565256-42B8-4F86-A0D4-B8EC6D5CFAC6}"/>
    <hyperlink ref="O375" r:id="rId28" xr:uid="{6755AE48-0EF6-4CD2-91DC-D417D091F54A}"/>
    <hyperlink ref="O376" r:id="rId29" xr:uid="{7CB063C9-95B8-4CBE-B512-C7EC8CC4E8BB}"/>
    <hyperlink ref="O377" r:id="rId30" xr:uid="{4C0BBB2E-EC5A-4E82-B38D-55FBA31A3E8D}"/>
    <hyperlink ref="O378" r:id="rId31" xr:uid="{31DF5068-CD4B-483B-A7F3-7BDD230533B0}"/>
    <hyperlink ref="O379" r:id="rId32" xr:uid="{EAC45806-A5E8-4940-89EE-E5ED5EE0A53E}"/>
    <hyperlink ref="O380" r:id="rId33" xr:uid="{2EF73955-6FA2-4EA0-9C1E-44917798383A}"/>
    <hyperlink ref="O381" r:id="rId34" xr:uid="{47D87D95-7110-4457-A6F6-3058E1C47BB6}"/>
    <hyperlink ref="O382" r:id="rId35" xr:uid="{5AC7ED60-3C2C-447D-B030-E0EB681C0F0A}"/>
    <hyperlink ref="O383" r:id="rId36" xr:uid="{C29CECA9-5995-43F8-996D-F7ED09AED1D1}"/>
    <hyperlink ref="O384" r:id="rId37" xr:uid="{32632F17-702E-456F-8632-F2DC5D61D09F}"/>
    <hyperlink ref="O385" r:id="rId38" xr:uid="{A1070BAD-6AB8-4F20-8A39-C24B91E38FB9}"/>
  </hyperlinks>
  <pageMargins left="0.7" right="0.7" top="0.75" bottom="0.75" header="0.3" footer="0.3"/>
  <pageSetup paperSize="9" orientation="portrait" r:id="rId3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CF7E-0377-41F8-9A31-78A801D14CD6}">
  <sheetPr>
    <tabColor theme="9" tint="0.79998168889431442"/>
  </sheetPr>
  <dimension ref="B1:L97"/>
  <sheetViews>
    <sheetView workbookViewId="0">
      <selection activeCell="H20" sqref="H20"/>
    </sheetView>
  </sheetViews>
  <sheetFormatPr defaultRowHeight="16.5"/>
  <cols>
    <col min="1" max="1" width="2" customWidth="1"/>
    <col min="2" max="2" width="24.375" style="494" bestFit="1" customWidth="1"/>
    <col min="3" max="3" width="9" style="480"/>
    <col min="4" max="4" width="9" style="481"/>
    <col min="5" max="5" width="12.75" style="482" bestFit="1" customWidth="1"/>
    <col min="6" max="6" width="9.75" style="481" bestFit="1" customWidth="1"/>
    <col min="7" max="7" width="10.625" style="481" bestFit="1" customWidth="1"/>
    <col min="8" max="8" width="34" style="494" customWidth="1"/>
    <col min="9" max="9" width="10.5" style="481" bestFit="1" customWidth="1"/>
    <col min="10" max="10" width="15" style="481" bestFit="1" customWidth="1"/>
    <col min="11" max="11" width="32" style="481" bestFit="1" customWidth="1"/>
    <col min="12" max="12" width="49.125" style="494" bestFit="1" customWidth="1"/>
  </cols>
  <sheetData>
    <row r="1" spans="2:12" ht="9.75" customHeight="1">
      <c r="B1"/>
      <c r="C1"/>
      <c r="D1"/>
      <c r="E1"/>
      <c r="F1"/>
      <c r="G1"/>
      <c r="H1"/>
      <c r="I1"/>
      <c r="J1"/>
      <c r="K1"/>
      <c r="L1"/>
    </row>
    <row r="2" spans="2:12" ht="29.25" customHeight="1">
      <c r="B2" s="343" t="s">
        <v>44</v>
      </c>
      <c r="C2" s="343" t="s">
        <v>32</v>
      </c>
      <c r="D2" s="343" t="s">
        <v>20</v>
      </c>
      <c r="E2" s="343" t="s">
        <v>2818</v>
      </c>
      <c r="F2" s="343" t="s">
        <v>42</v>
      </c>
      <c r="G2" s="343" t="s">
        <v>45</v>
      </c>
      <c r="H2" s="343" t="s">
        <v>82</v>
      </c>
      <c r="I2" s="343" t="s">
        <v>46</v>
      </c>
      <c r="J2" s="411" t="s">
        <v>47</v>
      </c>
      <c r="K2" s="343" t="s">
        <v>48</v>
      </c>
      <c r="L2" s="489" t="s">
        <v>97</v>
      </c>
    </row>
    <row r="3" spans="2:12">
      <c r="B3" s="494" t="s">
        <v>2819</v>
      </c>
      <c r="C3" s="480">
        <v>100</v>
      </c>
      <c r="D3" s="481" t="s">
        <v>114</v>
      </c>
      <c r="E3" s="482">
        <v>46121</v>
      </c>
      <c r="F3" s="482">
        <v>46121</v>
      </c>
      <c r="G3" s="481" t="s">
        <v>78</v>
      </c>
      <c r="H3" s="494" t="s">
        <v>2820</v>
      </c>
      <c r="L3" s="494" t="s">
        <v>2821</v>
      </c>
    </row>
    <row r="4" spans="2:12">
      <c r="B4" s="483" t="s">
        <v>2822</v>
      </c>
      <c r="C4" s="480">
        <v>130</v>
      </c>
      <c r="D4" s="481" t="s">
        <v>104</v>
      </c>
      <c r="E4" s="482">
        <v>46120</v>
      </c>
      <c r="F4" s="482"/>
      <c r="G4" s="481" t="s">
        <v>78</v>
      </c>
      <c r="H4" s="494" t="s">
        <v>2823</v>
      </c>
      <c r="L4" s="494" t="s">
        <v>2824</v>
      </c>
    </row>
    <row r="5" spans="2:12">
      <c r="B5" s="494" t="s">
        <v>2825</v>
      </c>
      <c r="C5" s="480">
        <v>130</v>
      </c>
      <c r="D5" s="481" t="s">
        <v>114</v>
      </c>
      <c r="E5" s="482">
        <v>46119</v>
      </c>
      <c r="F5" s="482"/>
      <c r="G5" s="481" t="s">
        <v>78</v>
      </c>
      <c r="H5" s="494" t="s">
        <v>2826</v>
      </c>
      <c r="I5" s="481" t="s">
        <v>2827</v>
      </c>
      <c r="J5" s="481" t="s">
        <v>2828</v>
      </c>
      <c r="K5" s="481" t="s">
        <v>2829</v>
      </c>
      <c r="L5" s="494" t="s">
        <v>2830</v>
      </c>
    </row>
    <row r="6" spans="2:12">
      <c r="B6" s="494" t="s">
        <v>2831</v>
      </c>
      <c r="C6" s="480">
        <v>1000</v>
      </c>
      <c r="D6" s="481" t="s">
        <v>1175</v>
      </c>
      <c r="E6" s="482">
        <v>46092</v>
      </c>
      <c r="F6" s="482"/>
      <c r="G6" s="481" t="s">
        <v>78</v>
      </c>
      <c r="H6" s="494" t="s">
        <v>2832</v>
      </c>
      <c r="I6" s="481" t="s">
        <v>2833</v>
      </c>
      <c r="J6" s="481" t="s">
        <v>2834</v>
      </c>
      <c r="K6" s="481" t="s">
        <v>2835</v>
      </c>
      <c r="L6" s="494" t="s">
        <v>2836</v>
      </c>
    </row>
    <row r="7" spans="2:12">
      <c r="B7" s="494" t="s">
        <v>508</v>
      </c>
      <c r="C7" s="480">
        <v>300</v>
      </c>
      <c r="D7" s="481" t="s">
        <v>114</v>
      </c>
      <c r="E7" s="482">
        <v>46085</v>
      </c>
      <c r="F7" s="482"/>
      <c r="G7" s="481" t="s">
        <v>78</v>
      </c>
      <c r="H7" s="494" t="s">
        <v>2837</v>
      </c>
      <c r="L7" s="494" t="s">
        <v>2821</v>
      </c>
    </row>
    <row r="8" spans="2:12">
      <c r="B8" s="494" t="s">
        <v>2838</v>
      </c>
      <c r="C8" s="480">
        <v>11</v>
      </c>
      <c r="D8" s="481" t="s">
        <v>171</v>
      </c>
      <c r="E8" s="482">
        <v>46080</v>
      </c>
      <c r="F8" s="482"/>
      <c r="G8" s="481" t="s">
        <v>72</v>
      </c>
      <c r="H8" s="494" t="s">
        <v>2837</v>
      </c>
      <c r="J8" s="481" t="s">
        <v>2839</v>
      </c>
      <c r="K8" s="481" t="s">
        <v>2840</v>
      </c>
      <c r="L8" s="494" t="s">
        <v>2841</v>
      </c>
    </row>
    <row r="9" spans="2:12">
      <c r="B9" s="483" t="s">
        <v>2577</v>
      </c>
      <c r="C9" s="480">
        <v>110</v>
      </c>
      <c r="D9" s="481" t="s">
        <v>114</v>
      </c>
      <c r="E9" s="482">
        <v>46080</v>
      </c>
      <c r="F9" s="482">
        <v>46080</v>
      </c>
      <c r="G9" s="481" t="s">
        <v>78</v>
      </c>
      <c r="H9" s="494" t="s">
        <v>2842</v>
      </c>
      <c r="I9" s="481" t="s">
        <v>2578</v>
      </c>
      <c r="J9" s="481" t="s">
        <v>2843</v>
      </c>
      <c r="K9" s="481" t="s">
        <v>2844</v>
      </c>
      <c r="L9" s="494" t="s">
        <v>2845</v>
      </c>
    </row>
    <row r="10" spans="2:12">
      <c r="B10" s="494" t="s">
        <v>2695</v>
      </c>
      <c r="C10" s="480">
        <v>100</v>
      </c>
      <c r="D10" s="481" t="s">
        <v>171</v>
      </c>
      <c r="E10" s="482">
        <v>46078</v>
      </c>
      <c r="F10" s="482"/>
      <c r="G10" s="481" t="s">
        <v>72</v>
      </c>
      <c r="H10" s="494" t="s">
        <v>2837</v>
      </c>
      <c r="J10" s="481" t="s">
        <v>2700</v>
      </c>
      <c r="K10" s="481" t="s">
        <v>2846</v>
      </c>
    </row>
    <row r="11" spans="2:12">
      <c r="B11" s="494" t="s">
        <v>2696</v>
      </c>
      <c r="C11" s="480">
        <v>650</v>
      </c>
      <c r="D11" s="481" t="s">
        <v>171</v>
      </c>
      <c r="E11" s="482">
        <v>46078</v>
      </c>
      <c r="F11" s="482"/>
      <c r="G11" s="481" t="s">
        <v>72</v>
      </c>
      <c r="H11" s="494" t="s">
        <v>2837</v>
      </c>
      <c r="J11" s="481" t="s">
        <v>2847</v>
      </c>
      <c r="L11" s="494" t="s">
        <v>2848</v>
      </c>
    </row>
    <row r="12" spans="2:12">
      <c r="B12" s="494" t="s">
        <v>2849</v>
      </c>
      <c r="C12" s="480">
        <v>1000</v>
      </c>
      <c r="D12" s="481" t="s">
        <v>171</v>
      </c>
      <c r="E12" s="482">
        <v>46078</v>
      </c>
      <c r="F12" s="482"/>
      <c r="G12" s="481" t="s">
        <v>72</v>
      </c>
      <c r="H12" s="494" t="s">
        <v>2837</v>
      </c>
      <c r="J12" s="481" t="s">
        <v>2850</v>
      </c>
      <c r="K12" s="481" t="s">
        <v>2851</v>
      </c>
    </row>
    <row r="13" spans="2:12">
      <c r="B13" s="494" t="s">
        <v>2697</v>
      </c>
      <c r="C13" s="480">
        <v>100</v>
      </c>
      <c r="D13" s="481" t="s">
        <v>171</v>
      </c>
      <c r="E13" s="482">
        <v>46078</v>
      </c>
      <c r="F13" s="482"/>
      <c r="G13" s="481" t="s">
        <v>72</v>
      </c>
      <c r="H13" s="494" t="s">
        <v>2837</v>
      </c>
      <c r="I13" s="481" t="s">
        <v>2852</v>
      </c>
      <c r="J13" s="481" t="s">
        <v>2853</v>
      </c>
    </row>
    <row r="14" spans="2:12">
      <c r="B14" s="494" t="s">
        <v>2854</v>
      </c>
      <c r="C14" s="480">
        <v>700</v>
      </c>
      <c r="D14" s="481" t="s">
        <v>171</v>
      </c>
      <c r="E14" s="482">
        <v>46078</v>
      </c>
      <c r="F14" s="482"/>
      <c r="G14" s="481" t="s">
        <v>72</v>
      </c>
      <c r="H14" s="494" t="s">
        <v>2837</v>
      </c>
      <c r="J14" s="481" t="s">
        <v>2855</v>
      </c>
    </row>
    <row r="15" spans="2:12">
      <c r="B15" s="494" t="s">
        <v>2698</v>
      </c>
      <c r="C15" s="480">
        <v>30</v>
      </c>
      <c r="D15" s="481" t="s">
        <v>171</v>
      </c>
      <c r="E15" s="482">
        <v>46078</v>
      </c>
      <c r="F15" s="482"/>
      <c r="G15" s="481" t="s">
        <v>72</v>
      </c>
      <c r="H15" s="494" t="s">
        <v>2837</v>
      </c>
      <c r="J15" s="481" t="s">
        <v>2856</v>
      </c>
    </row>
    <row r="16" spans="2:12">
      <c r="B16" s="494" t="s">
        <v>2857</v>
      </c>
      <c r="C16" s="480" t="s">
        <v>81</v>
      </c>
      <c r="D16" s="481" t="s">
        <v>171</v>
      </c>
      <c r="E16" s="482">
        <v>46078</v>
      </c>
      <c r="F16" s="482"/>
      <c r="G16" s="481" t="s">
        <v>72</v>
      </c>
      <c r="H16" s="494" t="s">
        <v>2837</v>
      </c>
      <c r="I16" s="481" t="s">
        <v>2858</v>
      </c>
      <c r="J16" s="481" t="s">
        <v>2859</v>
      </c>
      <c r="K16" s="481" t="s">
        <v>2860</v>
      </c>
      <c r="L16" s="494" t="s">
        <v>2861</v>
      </c>
    </row>
    <row r="17" spans="2:12">
      <c r="B17" s="494" t="s">
        <v>2862</v>
      </c>
      <c r="C17" s="480" t="s">
        <v>81</v>
      </c>
      <c r="D17" s="481" t="s">
        <v>171</v>
      </c>
      <c r="E17" s="482">
        <v>46078</v>
      </c>
      <c r="F17" s="482"/>
      <c r="G17" s="481" t="s">
        <v>72</v>
      </c>
      <c r="H17" s="494" t="s">
        <v>2837</v>
      </c>
      <c r="J17" s="481" t="s">
        <v>2863</v>
      </c>
    </row>
    <row r="18" spans="2:12">
      <c r="B18" s="494" t="s">
        <v>2864</v>
      </c>
      <c r="C18" s="480">
        <v>100</v>
      </c>
      <c r="D18" s="481" t="s">
        <v>171</v>
      </c>
      <c r="E18" s="482">
        <v>46078</v>
      </c>
      <c r="F18" s="482"/>
      <c r="G18" s="481" t="s">
        <v>72</v>
      </c>
      <c r="H18" s="494" t="s">
        <v>2837</v>
      </c>
      <c r="I18" s="481" t="s">
        <v>2865</v>
      </c>
      <c r="J18" s="481" t="s">
        <v>2866</v>
      </c>
      <c r="L18" s="494" t="s">
        <v>2867</v>
      </c>
    </row>
    <row r="19" spans="2:12">
      <c r="B19" s="483" t="s">
        <v>2868</v>
      </c>
      <c r="C19" s="480">
        <v>100</v>
      </c>
      <c r="D19" s="481" t="s">
        <v>2869</v>
      </c>
      <c r="E19" s="482" t="s">
        <v>2870</v>
      </c>
      <c r="F19" s="482"/>
      <c r="G19" s="481" t="s">
        <v>78</v>
      </c>
      <c r="H19" s="494" t="s">
        <v>2871</v>
      </c>
      <c r="L19" s="494" t="s">
        <v>2821</v>
      </c>
    </row>
    <row r="20" spans="2:12">
      <c r="B20" s="483" t="s">
        <v>2872</v>
      </c>
      <c r="C20" s="480" t="s">
        <v>81</v>
      </c>
      <c r="D20" s="481" t="s">
        <v>1572</v>
      </c>
      <c r="E20" s="482" t="s">
        <v>2870</v>
      </c>
      <c r="F20" s="482"/>
      <c r="G20" s="481" t="s">
        <v>2873</v>
      </c>
      <c r="H20" s="494" t="s">
        <v>2874</v>
      </c>
      <c r="L20" s="494" t="s">
        <v>2875</v>
      </c>
    </row>
    <row r="21" spans="2:12">
      <c r="B21" s="483" t="s">
        <v>2876</v>
      </c>
      <c r="C21" s="480" t="s">
        <v>81</v>
      </c>
      <c r="D21" s="481" t="s">
        <v>1572</v>
      </c>
      <c r="E21" s="482" t="s">
        <v>2870</v>
      </c>
      <c r="F21" s="482"/>
      <c r="G21" s="481" t="s">
        <v>2873</v>
      </c>
      <c r="H21" s="494" t="s">
        <v>2874</v>
      </c>
    </row>
    <row r="22" spans="2:12">
      <c r="B22" s="483" t="s">
        <v>2877</v>
      </c>
      <c r="C22" s="480" t="s">
        <v>81</v>
      </c>
      <c r="D22" s="481" t="s">
        <v>2878</v>
      </c>
      <c r="E22" s="482" t="s">
        <v>2870</v>
      </c>
      <c r="F22" s="482"/>
      <c r="G22" s="481" t="s">
        <v>2873</v>
      </c>
      <c r="H22" s="494" t="s">
        <v>2874</v>
      </c>
      <c r="L22" s="494" t="s">
        <v>2879</v>
      </c>
    </row>
    <row r="23" spans="2:12">
      <c r="B23" s="483" t="s">
        <v>2880</v>
      </c>
      <c r="C23" s="480" t="s">
        <v>81</v>
      </c>
      <c r="D23" s="481" t="s">
        <v>2881</v>
      </c>
      <c r="E23" s="482" t="s">
        <v>2870</v>
      </c>
      <c r="F23" s="482"/>
      <c r="G23" s="481" t="s">
        <v>2873</v>
      </c>
      <c r="H23" s="494" t="s">
        <v>2874</v>
      </c>
    </row>
    <row r="24" spans="2:12">
      <c r="B24" s="483" t="s">
        <v>2882</v>
      </c>
      <c r="C24" s="480" t="s">
        <v>81</v>
      </c>
      <c r="D24" s="481" t="s">
        <v>2878</v>
      </c>
      <c r="E24" s="482" t="s">
        <v>2870</v>
      </c>
      <c r="F24" s="482"/>
      <c r="G24" s="481" t="s">
        <v>2873</v>
      </c>
      <c r="H24" s="494" t="s">
        <v>2874</v>
      </c>
    </row>
    <row r="25" spans="2:12">
      <c r="B25" s="483" t="s">
        <v>2883</v>
      </c>
      <c r="C25" s="480" t="s">
        <v>81</v>
      </c>
      <c r="D25" s="481" t="s">
        <v>2878</v>
      </c>
      <c r="E25" s="482" t="s">
        <v>2870</v>
      </c>
      <c r="F25" s="482"/>
      <c r="G25" s="481" t="s">
        <v>2873</v>
      </c>
      <c r="H25" s="494" t="s">
        <v>2874</v>
      </c>
    </row>
    <row r="26" spans="2:12">
      <c r="B26" s="483" t="s">
        <v>2884</v>
      </c>
      <c r="C26" s="480" t="s">
        <v>81</v>
      </c>
      <c r="D26" s="481" t="s">
        <v>2878</v>
      </c>
      <c r="E26" s="482" t="s">
        <v>2870</v>
      </c>
      <c r="F26" s="482"/>
      <c r="G26" s="481" t="s">
        <v>2873</v>
      </c>
      <c r="H26" s="494" t="s">
        <v>2874</v>
      </c>
    </row>
    <row r="27" spans="2:12">
      <c r="B27" s="483" t="s">
        <v>2885</v>
      </c>
      <c r="C27" s="480" t="s">
        <v>81</v>
      </c>
      <c r="D27" s="481" t="s">
        <v>2878</v>
      </c>
      <c r="E27" s="482" t="s">
        <v>2870</v>
      </c>
      <c r="F27" s="482"/>
      <c r="G27" s="481" t="s">
        <v>2873</v>
      </c>
      <c r="H27" s="494" t="s">
        <v>2874</v>
      </c>
    </row>
    <row r="28" spans="2:12">
      <c r="B28" s="483" t="s">
        <v>2886</v>
      </c>
      <c r="C28" s="480" t="s">
        <v>81</v>
      </c>
      <c r="D28" s="481" t="s">
        <v>2878</v>
      </c>
      <c r="E28" s="482" t="s">
        <v>2870</v>
      </c>
      <c r="F28" s="482"/>
      <c r="G28" s="481" t="s">
        <v>2873</v>
      </c>
      <c r="H28" s="494" t="s">
        <v>2874</v>
      </c>
    </row>
    <row r="29" spans="2:12">
      <c r="B29" s="483" t="s">
        <v>2887</v>
      </c>
      <c r="C29" s="480" t="s">
        <v>81</v>
      </c>
      <c r="D29" s="481" t="s">
        <v>2878</v>
      </c>
      <c r="E29" s="482" t="s">
        <v>2870</v>
      </c>
      <c r="F29" s="482"/>
      <c r="G29" s="481" t="s">
        <v>2873</v>
      </c>
      <c r="H29" s="494" t="s">
        <v>2874</v>
      </c>
    </row>
    <row r="30" spans="2:12">
      <c r="B30" s="483" t="s">
        <v>2888</v>
      </c>
      <c r="C30" s="480" t="s">
        <v>81</v>
      </c>
      <c r="D30" s="481" t="s">
        <v>2878</v>
      </c>
      <c r="E30" s="482" t="s">
        <v>2870</v>
      </c>
      <c r="F30" s="482"/>
      <c r="G30" s="481" t="s">
        <v>2873</v>
      </c>
      <c r="H30" s="494" t="s">
        <v>2874</v>
      </c>
    </row>
    <row r="31" spans="2:12">
      <c r="B31" s="483" t="s">
        <v>2889</v>
      </c>
      <c r="C31" s="480" t="s">
        <v>81</v>
      </c>
      <c r="D31" s="481" t="s">
        <v>1572</v>
      </c>
      <c r="E31" s="482" t="s">
        <v>2870</v>
      </c>
      <c r="F31" s="482"/>
      <c r="G31" s="481" t="s">
        <v>2873</v>
      </c>
      <c r="H31" s="494" t="s">
        <v>2874</v>
      </c>
    </row>
    <row r="32" spans="2:12">
      <c r="B32" s="483" t="s">
        <v>2890</v>
      </c>
      <c r="C32" s="480" t="s">
        <v>81</v>
      </c>
      <c r="D32" s="481" t="s">
        <v>1572</v>
      </c>
      <c r="E32" s="482" t="s">
        <v>2870</v>
      </c>
      <c r="F32" s="482"/>
      <c r="G32" s="481" t="s">
        <v>2873</v>
      </c>
      <c r="H32" s="494" t="s">
        <v>2874</v>
      </c>
    </row>
    <row r="33" spans="2:8">
      <c r="B33" s="483" t="s">
        <v>2891</v>
      </c>
      <c r="C33" s="480" t="s">
        <v>81</v>
      </c>
      <c r="D33" s="481" t="s">
        <v>2878</v>
      </c>
      <c r="E33" s="482" t="s">
        <v>2870</v>
      </c>
      <c r="F33" s="482"/>
      <c r="G33" s="481" t="s">
        <v>2873</v>
      </c>
      <c r="H33" s="494" t="s">
        <v>2874</v>
      </c>
    </row>
    <row r="34" spans="2:8">
      <c r="B34" s="483" t="s">
        <v>2892</v>
      </c>
      <c r="C34" s="480" t="s">
        <v>81</v>
      </c>
      <c r="D34" s="481" t="s">
        <v>2878</v>
      </c>
      <c r="E34" s="482" t="s">
        <v>2870</v>
      </c>
      <c r="F34" s="482"/>
      <c r="G34" s="481" t="s">
        <v>2873</v>
      </c>
      <c r="H34" s="494" t="s">
        <v>2874</v>
      </c>
    </row>
    <row r="35" spans="2:8">
      <c r="B35" s="483" t="s">
        <v>2893</v>
      </c>
      <c r="C35" s="480" t="s">
        <v>81</v>
      </c>
      <c r="D35" s="481" t="s">
        <v>2878</v>
      </c>
      <c r="E35" s="482" t="s">
        <v>2870</v>
      </c>
      <c r="F35" s="482"/>
      <c r="G35" s="481" t="s">
        <v>2873</v>
      </c>
      <c r="H35" s="494" t="s">
        <v>2874</v>
      </c>
    </row>
    <row r="36" spans="2:8">
      <c r="B36" s="483" t="s">
        <v>2894</v>
      </c>
      <c r="C36" s="480" t="s">
        <v>81</v>
      </c>
      <c r="D36" s="481" t="s">
        <v>448</v>
      </c>
      <c r="E36" s="482" t="s">
        <v>2870</v>
      </c>
      <c r="F36" s="482"/>
      <c r="G36" s="481" t="s">
        <v>2873</v>
      </c>
      <c r="H36" s="494" t="s">
        <v>2874</v>
      </c>
    </row>
    <row r="37" spans="2:8">
      <c r="B37" s="483" t="s">
        <v>2895</v>
      </c>
      <c r="C37" s="480" t="s">
        <v>81</v>
      </c>
      <c r="D37" s="481" t="s">
        <v>2878</v>
      </c>
      <c r="E37" s="482" t="s">
        <v>2870</v>
      </c>
      <c r="F37" s="482"/>
      <c r="G37" s="481" t="s">
        <v>2873</v>
      </c>
      <c r="H37" s="494" t="s">
        <v>2874</v>
      </c>
    </row>
    <row r="38" spans="2:8">
      <c r="B38" s="483" t="s">
        <v>2896</v>
      </c>
      <c r="C38" s="480" t="s">
        <v>81</v>
      </c>
      <c r="D38" s="481" t="s">
        <v>194</v>
      </c>
      <c r="E38" s="482" t="s">
        <v>2870</v>
      </c>
      <c r="F38" s="482"/>
      <c r="G38" s="481" t="s">
        <v>2873</v>
      </c>
      <c r="H38" s="494" t="s">
        <v>2874</v>
      </c>
    </row>
    <row r="39" spans="2:8">
      <c r="B39" s="483" t="s">
        <v>2897</v>
      </c>
      <c r="C39" s="480" t="s">
        <v>81</v>
      </c>
      <c r="D39" s="481" t="s">
        <v>438</v>
      </c>
      <c r="E39" s="482" t="s">
        <v>2870</v>
      </c>
      <c r="F39" s="482"/>
      <c r="G39" s="481" t="s">
        <v>2873</v>
      </c>
      <c r="H39" s="494" t="s">
        <v>2874</v>
      </c>
    </row>
    <row r="40" spans="2:8">
      <c r="F40" s="482"/>
    </row>
    <row r="41" spans="2:8">
      <c r="F41" s="482"/>
    </row>
    <row r="42" spans="2:8">
      <c r="F42" s="482"/>
    </row>
    <row r="43" spans="2:8">
      <c r="F43" s="482"/>
    </row>
    <row r="44" spans="2:8">
      <c r="F44" s="482"/>
    </row>
    <row r="45" spans="2:8">
      <c r="F45" s="482"/>
    </row>
    <row r="46" spans="2:8">
      <c r="F46" s="482"/>
    </row>
    <row r="47" spans="2:8">
      <c r="F47" s="482"/>
    </row>
    <row r="48" spans="2:8">
      <c r="F48" s="482"/>
    </row>
    <row r="49" spans="6:6">
      <c r="F49" s="482"/>
    </row>
    <row r="50" spans="6:6">
      <c r="F50" s="482"/>
    </row>
    <row r="51" spans="6:6">
      <c r="F51" s="482"/>
    </row>
    <row r="52" spans="6:6">
      <c r="F52" s="482"/>
    </row>
    <row r="53" spans="6:6">
      <c r="F53" s="482"/>
    </row>
    <row r="54" spans="6:6">
      <c r="F54" s="482"/>
    </row>
    <row r="55" spans="6:6">
      <c r="F55" s="482"/>
    </row>
    <row r="56" spans="6:6">
      <c r="F56" s="482"/>
    </row>
    <row r="57" spans="6:6">
      <c r="F57" s="482"/>
    </row>
    <row r="58" spans="6:6">
      <c r="F58" s="482"/>
    </row>
    <row r="59" spans="6:6">
      <c r="F59" s="482"/>
    </row>
    <row r="60" spans="6:6">
      <c r="F60" s="482"/>
    </row>
    <row r="61" spans="6:6">
      <c r="F61" s="482"/>
    </row>
    <row r="62" spans="6:6">
      <c r="F62" s="482"/>
    </row>
    <row r="63" spans="6:6">
      <c r="F63" s="482"/>
    </row>
    <row r="64" spans="6:6">
      <c r="F64" s="482"/>
    </row>
    <row r="65" spans="6:6">
      <c r="F65" s="482"/>
    </row>
    <row r="66" spans="6:6">
      <c r="F66" s="482"/>
    </row>
    <row r="67" spans="6:6">
      <c r="F67" s="482"/>
    </row>
    <row r="68" spans="6:6">
      <c r="F68" s="482"/>
    </row>
    <row r="69" spans="6:6">
      <c r="F69" s="482"/>
    </row>
    <row r="70" spans="6:6">
      <c r="F70" s="482"/>
    </row>
    <row r="71" spans="6:6">
      <c r="F71" s="482"/>
    </row>
    <row r="72" spans="6:6">
      <c r="F72" s="482"/>
    </row>
    <row r="73" spans="6:6">
      <c r="F73" s="482"/>
    </row>
    <row r="74" spans="6:6">
      <c r="F74" s="482"/>
    </row>
    <row r="75" spans="6:6">
      <c r="F75" s="482"/>
    </row>
    <row r="76" spans="6:6">
      <c r="F76" s="482"/>
    </row>
    <row r="77" spans="6:6">
      <c r="F77" s="482"/>
    </row>
    <row r="78" spans="6:6">
      <c r="F78" s="482"/>
    </row>
    <row r="79" spans="6:6">
      <c r="F79" s="482"/>
    </row>
    <row r="80" spans="6:6">
      <c r="F80" s="482"/>
    </row>
    <row r="81" spans="6:6">
      <c r="F81" s="482"/>
    </row>
    <row r="82" spans="6:6">
      <c r="F82" s="482"/>
    </row>
    <row r="83" spans="6:6">
      <c r="F83" s="482"/>
    </row>
    <row r="84" spans="6:6">
      <c r="F84" s="482"/>
    </row>
    <row r="85" spans="6:6">
      <c r="F85" s="482"/>
    </row>
    <row r="86" spans="6:6">
      <c r="F86" s="482"/>
    </row>
    <row r="87" spans="6:6">
      <c r="F87" s="482"/>
    </row>
    <row r="88" spans="6:6">
      <c r="F88" s="482"/>
    </row>
    <row r="89" spans="6:6">
      <c r="F89" s="482"/>
    </row>
    <row r="90" spans="6:6">
      <c r="F90" s="482"/>
    </row>
    <row r="91" spans="6:6">
      <c r="F91" s="482"/>
    </row>
    <row r="92" spans="6:6">
      <c r="F92" s="482"/>
    </row>
    <row r="93" spans="6:6">
      <c r="F93" s="482"/>
    </row>
    <row r="94" spans="6:6">
      <c r="F94" s="482"/>
    </row>
    <row r="95" spans="6:6">
      <c r="F95" s="482"/>
    </row>
    <row r="96" spans="6:6">
      <c r="F96" s="482"/>
    </row>
    <row r="97" spans="6:6">
      <c r="F97" s="482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</sheetPr>
  <dimension ref="A1:X198"/>
  <sheetViews>
    <sheetView zoomScale="85" zoomScaleNormal="85" workbookViewId="0">
      <pane xSplit="4" ySplit="15" topLeftCell="E172" activePane="bottomRight" state="frozen"/>
      <selection pane="topRight" activeCell="E1" sqref="E1"/>
      <selection pane="bottomLeft" activeCell="A16" sqref="A16"/>
      <selection pane="bottomRight" activeCell="L201" sqref="L201"/>
    </sheetView>
  </sheetViews>
  <sheetFormatPr defaultColWidth="9" defaultRowHeight="20.100000000000001" customHeight="1"/>
  <cols>
    <col min="1" max="1" width="2.125" style="5" customWidth="1"/>
    <col min="2" max="3" width="7.625" style="5" customWidth="1"/>
    <col min="4" max="6" width="15.625" style="5" customWidth="1"/>
    <col min="7" max="7" width="15.625" style="5" hidden="1" customWidth="1"/>
    <col min="8" max="8" width="5.375" style="5" customWidth="1"/>
    <col min="9" max="10" width="5.625" style="5" customWidth="1"/>
    <col min="11" max="11" width="12.375" style="5" bestFit="1" customWidth="1"/>
    <col min="12" max="12" width="20.625" style="5" customWidth="1"/>
    <col min="13" max="13" width="8.625" style="5" customWidth="1"/>
    <col min="14" max="14" width="7.625" style="5" customWidth="1"/>
    <col min="15" max="15" width="10.875" style="5" customWidth="1"/>
    <col min="16" max="16" width="10.625" style="5" hidden="1" customWidth="1"/>
    <col min="17" max="17" width="12.875" style="5" bestFit="1" customWidth="1"/>
    <col min="18" max="18" width="10.625" style="5" hidden="1" customWidth="1"/>
    <col min="19" max="19" width="9.625" style="5" customWidth="1"/>
    <col min="20" max="20" width="7.625" style="5" customWidth="1"/>
    <col min="21" max="21" width="20.625" style="5" customWidth="1"/>
    <col min="22" max="22" width="9.125" style="5" bestFit="1" customWidth="1"/>
    <col min="23" max="23" width="7.625" style="5" customWidth="1"/>
    <col min="24" max="24" width="10.625" style="5" bestFit="1" customWidth="1"/>
    <col min="25" max="16384" width="9" style="5"/>
  </cols>
  <sheetData>
    <row r="1" spans="1:23" ht="20.100000000000001" customHeight="1">
      <c r="B1" s="7" t="s">
        <v>1311</v>
      </c>
      <c r="C1" s="7"/>
      <c r="D1" s="8"/>
      <c r="E1" s="8"/>
      <c r="F1" s="8"/>
      <c r="I1" s="7" t="s">
        <v>1312</v>
      </c>
    </row>
    <row r="2" spans="1:23" ht="20.100000000000001" customHeight="1">
      <c r="A2" s="6"/>
      <c r="B2" s="555" t="s">
        <v>21</v>
      </c>
      <c r="C2" s="556"/>
      <c r="D2" s="259" t="s">
        <v>67</v>
      </c>
      <c r="E2" s="259" t="s">
        <v>68</v>
      </c>
      <c r="F2" s="259" t="s">
        <v>69</v>
      </c>
      <c r="G2" s="38" t="s">
        <v>54</v>
      </c>
      <c r="I2" s="259" t="s">
        <v>21</v>
      </c>
      <c r="J2" s="259" t="s">
        <v>674</v>
      </c>
      <c r="K2" s="259" t="s">
        <v>675</v>
      </c>
      <c r="L2" s="259" t="s">
        <v>0</v>
      </c>
      <c r="M2" s="259" t="s">
        <v>676</v>
      </c>
      <c r="N2" s="259" t="s">
        <v>138</v>
      </c>
      <c r="O2" s="259" t="s">
        <v>1309</v>
      </c>
      <c r="P2" s="259" t="s">
        <v>677</v>
      </c>
      <c r="Q2" s="259" t="s">
        <v>678</v>
      </c>
      <c r="R2" s="259" t="s">
        <v>139</v>
      </c>
      <c r="S2" s="259" t="s">
        <v>679</v>
      </c>
      <c r="T2" s="259" t="s">
        <v>680</v>
      </c>
      <c r="U2" s="259" t="s">
        <v>140</v>
      </c>
      <c r="V2" s="259" t="s">
        <v>20</v>
      </c>
      <c r="W2" s="259" t="s">
        <v>97</v>
      </c>
    </row>
    <row r="3" spans="1:23" ht="20.100000000000001" customHeight="1">
      <c r="A3" s="6"/>
      <c r="B3" s="546" t="s">
        <v>70</v>
      </c>
      <c r="C3" s="548"/>
      <c r="D3" s="55">
        <f>SUM(D4:D15)</f>
        <v>3000000000</v>
      </c>
      <c r="E3" s="55">
        <f>SUM(E4:E15)</f>
        <v>3345645995</v>
      </c>
      <c r="F3" s="58">
        <f>E3/D3</f>
        <v>1.1152153316666666</v>
      </c>
      <c r="G3" s="59"/>
      <c r="I3" s="546" t="s">
        <v>31</v>
      </c>
      <c r="J3" s="547"/>
      <c r="K3" s="548"/>
      <c r="L3" s="55">
        <f>COUNTA(L4:L194)</f>
        <v>191</v>
      </c>
      <c r="M3" s="55" t="s">
        <v>81</v>
      </c>
      <c r="N3" s="55">
        <f>SUM(N4:N194)</f>
        <v>30842</v>
      </c>
      <c r="O3" s="55">
        <f>COUNTA(O4:O194)</f>
        <v>36</v>
      </c>
      <c r="P3" s="55" t="s">
        <v>81</v>
      </c>
      <c r="Q3" s="55">
        <f>SUM(Q4:Q194)</f>
        <v>3323645995</v>
      </c>
      <c r="R3" s="55">
        <f>SUM(R4:R77)</f>
        <v>0</v>
      </c>
      <c r="S3" s="549"/>
      <c r="T3" s="550"/>
      <c r="U3" s="550"/>
      <c r="V3" s="550"/>
      <c r="W3" s="551"/>
    </row>
    <row r="4" spans="1:23" ht="20.100000000000001" customHeight="1">
      <c r="A4" s="6"/>
      <c r="B4" s="552" t="s">
        <v>53</v>
      </c>
      <c r="C4" s="4" t="s">
        <v>22</v>
      </c>
      <c r="D4" s="18">
        <v>130000000</v>
      </c>
      <c r="E4" s="18">
        <f>SUM(Q4:Q36)</f>
        <v>196020000</v>
      </c>
      <c r="F4" s="2">
        <f t="shared" ref="F4:F12" si="0">E4/D4</f>
        <v>1.5078461538461538</v>
      </c>
      <c r="G4" s="39" t="s">
        <v>71</v>
      </c>
      <c r="I4" s="4">
        <v>1</v>
      </c>
      <c r="J4" s="4" t="s">
        <v>22</v>
      </c>
      <c r="K4" s="60">
        <v>45292</v>
      </c>
      <c r="L4" s="14" t="s">
        <v>681</v>
      </c>
      <c r="M4" s="3" t="s">
        <v>83</v>
      </c>
      <c r="N4" s="14">
        <v>83</v>
      </c>
      <c r="O4" s="14"/>
      <c r="P4" s="14">
        <f t="shared" ref="P4:P18" si="1">Q4/N4</f>
        <v>421686.7469879518</v>
      </c>
      <c r="Q4" s="14">
        <v>35000000</v>
      </c>
      <c r="R4" s="14"/>
      <c r="S4" s="60" t="s">
        <v>141</v>
      </c>
      <c r="T4" s="4" t="s">
        <v>115</v>
      </c>
      <c r="U4" s="14" t="s">
        <v>682</v>
      </c>
      <c r="V4" s="14" t="s">
        <v>683</v>
      </c>
      <c r="W4" s="4" t="s">
        <v>79</v>
      </c>
    </row>
    <row r="5" spans="1:23" ht="20.100000000000001" customHeight="1">
      <c r="A5" s="6"/>
      <c r="B5" s="553"/>
      <c r="C5" s="4" t="s">
        <v>1</v>
      </c>
      <c r="D5" s="18">
        <v>260000000</v>
      </c>
      <c r="E5" s="18">
        <f>SUM(Q37:Q56)</f>
        <v>239088000</v>
      </c>
      <c r="F5" s="2">
        <f t="shared" si="0"/>
        <v>0.91956923076923081</v>
      </c>
      <c r="G5" s="39" t="s">
        <v>55</v>
      </c>
      <c r="I5" s="4">
        <v>2</v>
      </c>
      <c r="J5" s="4" t="s">
        <v>3</v>
      </c>
      <c r="K5" s="60">
        <v>45293</v>
      </c>
      <c r="L5" s="14" t="s">
        <v>684</v>
      </c>
      <c r="M5" s="3" t="s">
        <v>72</v>
      </c>
      <c r="N5" s="14">
        <v>40</v>
      </c>
      <c r="O5" s="14"/>
      <c r="P5" s="14">
        <f t="shared" si="1"/>
        <v>200000</v>
      </c>
      <c r="Q5" s="14">
        <v>8000000</v>
      </c>
      <c r="R5" s="14"/>
      <c r="S5" s="60" t="s">
        <v>142</v>
      </c>
      <c r="T5" s="4" t="s">
        <v>84</v>
      </c>
      <c r="U5" s="14" t="s">
        <v>143</v>
      </c>
      <c r="V5" s="14" t="s">
        <v>144</v>
      </c>
      <c r="W5" s="4"/>
    </row>
    <row r="6" spans="1:23" ht="20.100000000000001" customHeight="1">
      <c r="A6" s="6"/>
      <c r="B6" s="554"/>
      <c r="C6" s="4" t="s">
        <v>18</v>
      </c>
      <c r="D6" s="18">
        <v>110000000</v>
      </c>
      <c r="E6" s="36">
        <f>SUM(Q57:Q71)</f>
        <v>80683000</v>
      </c>
      <c r="F6" s="2">
        <f t="shared" si="0"/>
        <v>0.73348181818181823</v>
      </c>
      <c r="G6" s="39" t="s">
        <v>38</v>
      </c>
      <c r="I6" s="4">
        <v>3</v>
      </c>
      <c r="J6" s="4" t="s">
        <v>3</v>
      </c>
      <c r="K6" s="60">
        <v>45293</v>
      </c>
      <c r="L6" s="14" t="s">
        <v>145</v>
      </c>
      <c r="M6" s="3" t="s">
        <v>72</v>
      </c>
      <c r="N6" s="14">
        <v>31</v>
      </c>
      <c r="O6" s="14"/>
      <c r="P6" s="14">
        <f t="shared" si="1"/>
        <v>200000</v>
      </c>
      <c r="Q6" s="14">
        <v>6200000</v>
      </c>
      <c r="R6" s="14"/>
      <c r="S6" s="60" t="s">
        <v>142</v>
      </c>
      <c r="T6" s="4" t="s">
        <v>84</v>
      </c>
      <c r="U6" s="14" t="s">
        <v>685</v>
      </c>
      <c r="V6" s="14" t="s">
        <v>144</v>
      </c>
      <c r="W6" s="4"/>
    </row>
    <row r="7" spans="1:23" ht="20.100000000000001" customHeight="1">
      <c r="A7" s="6"/>
      <c r="B7" s="552" t="s">
        <v>25</v>
      </c>
      <c r="C7" s="4" t="s">
        <v>13</v>
      </c>
      <c r="D7" s="13">
        <v>200000000</v>
      </c>
      <c r="E7" s="4">
        <f>SUM(Q72:Q99)</f>
        <v>235371665</v>
      </c>
      <c r="F7" s="37">
        <f t="shared" si="0"/>
        <v>1.176858325</v>
      </c>
      <c r="G7" s="40" t="s">
        <v>56</v>
      </c>
      <c r="I7" s="4">
        <v>4</v>
      </c>
      <c r="J7" s="4" t="s">
        <v>3</v>
      </c>
      <c r="K7" s="60">
        <v>45293</v>
      </c>
      <c r="L7" s="14" t="s">
        <v>686</v>
      </c>
      <c r="M7" s="3" t="s">
        <v>78</v>
      </c>
      <c r="N7" s="14">
        <v>29</v>
      </c>
      <c r="O7" s="14"/>
      <c r="P7" s="14">
        <f t="shared" si="1"/>
        <v>215517.24137931035</v>
      </c>
      <c r="Q7" s="14">
        <v>6250000</v>
      </c>
      <c r="R7" s="14"/>
      <c r="S7" s="60" t="s">
        <v>142</v>
      </c>
      <c r="T7" s="4" t="s">
        <v>84</v>
      </c>
      <c r="U7" s="14" t="s">
        <v>143</v>
      </c>
      <c r="V7" s="14" t="s">
        <v>146</v>
      </c>
      <c r="W7" s="4"/>
    </row>
    <row r="8" spans="1:23" ht="20.100000000000001" customHeight="1">
      <c r="A8" s="6"/>
      <c r="B8" s="553"/>
      <c r="C8" s="14" t="s">
        <v>23</v>
      </c>
      <c r="D8" s="13">
        <v>300000000</v>
      </c>
      <c r="E8" s="13">
        <f>SUM(Q100:Q110)</f>
        <v>127941666</v>
      </c>
      <c r="F8" s="37">
        <f t="shared" si="0"/>
        <v>0.42647222000000001</v>
      </c>
      <c r="G8" s="40" t="s">
        <v>73</v>
      </c>
      <c r="I8" s="4">
        <v>5</v>
      </c>
      <c r="J8" s="4" t="s">
        <v>3</v>
      </c>
      <c r="K8" s="61">
        <v>45292</v>
      </c>
      <c r="L8" s="4" t="s">
        <v>147</v>
      </c>
      <c r="M8" s="3" t="s">
        <v>72</v>
      </c>
      <c r="N8" s="4">
        <v>10</v>
      </c>
      <c r="O8" s="4"/>
      <c r="P8" s="14">
        <f t="shared" si="1"/>
        <v>100000</v>
      </c>
      <c r="Q8" s="4">
        <v>1000000</v>
      </c>
      <c r="R8" s="4"/>
      <c r="S8" s="61" t="s">
        <v>141</v>
      </c>
      <c r="T8" s="4" t="s">
        <v>115</v>
      </c>
      <c r="U8" s="4" t="s">
        <v>687</v>
      </c>
      <c r="V8" s="4" t="s">
        <v>57</v>
      </c>
      <c r="W8" s="4" t="s">
        <v>79</v>
      </c>
    </row>
    <row r="9" spans="1:23" ht="20.100000000000001" customHeight="1">
      <c r="A9" s="6"/>
      <c r="B9" s="554"/>
      <c r="C9" s="14" t="s">
        <v>24</v>
      </c>
      <c r="D9" s="13">
        <v>250000000</v>
      </c>
      <c r="E9" s="13">
        <f>SUM(Q111:Q121)</f>
        <v>132766666</v>
      </c>
      <c r="F9" s="37">
        <f t="shared" si="0"/>
        <v>0.53106666400000002</v>
      </c>
      <c r="G9" s="40" t="s">
        <v>74</v>
      </c>
      <c r="I9" s="4">
        <v>6</v>
      </c>
      <c r="J9" s="4" t="s">
        <v>3</v>
      </c>
      <c r="K9" s="61">
        <v>45292</v>
      </c>
      <c r="L9" s="4" t="s">
        <v>688</v>
      </c>
      <c r="M9" s="3" t="s">
        <v>72</v>
      </c>
      <c r="N9" s="4">
        <v>10</v>
      </c>
      <c r="O9" s="4"/>
      <c r="P9" s="14">
        <f t="shared" si="1"/>
        <v>200000</v>
      </c>
      <c r="Q9" s="4">
        <v>2000000</v>
      </c>
      <c r="R9" s="4"/>
      <c r="S9" s="60" t="s">
        <v>142</v>
      </c>
      <c r="T9" s="4" t="s">
        <v>115</v>
      </c>
      <c r="U9" s="4" t="s">
        <v>689</v>
      </c>
      <c r="V9" s="4" t="s">
        <v>690</v>
      </c>
      <c r="W9" s="4" t="s">
        <v>79</v>
      </c>
    </row>
    <row r="10" spans="1:23" ht="20.100000000000001" customHeight="1">
      <c r="A10" s="6"/>
      <c r="B10" s="552" t="s">
        <v>28</v>
      </c>
      <c r="C10" s="14" t="s">
        <v>26</v>
      </c>
      <c r="D10" s="99">
        <v>900000000</v>
      </c>
      <c r="E10" s="13">
        <f>SUM(Q122:Q148)</f>
        <v>937309999</v>
      </c>
      <c r="F10" s="37">
        <f t="shared" si="0"/>
        <v>1.0414555544444444</v>
      </c>
      <c r="G10" s="39" t="s">
        <v>58</v>
      </c>
      <c r="I10" s="4">
        <v>7</v>
      </c>
      <c r="J10" s="4" t="s">
        <v>3</v>
      </c>
      <c r="K10" s="61">
        <v>45665</v>
      </c>
      <c r="L10" s="4" t="s">
        <v>691</v>
      </c>
      <c r="M10" s="3" t="s">
        <v>72</v>
      </c>
      <c r="N10" s="4">
        <v>17</v>
      </c>
      <c r="O10" s="4"/>
      <c r="P10" s="14">
        <f t="shared" si="1"/>
        <v>176470.58823529413</v>
      </c>
      <c r="Q10" s="4">
        <v>3000000</v>
      </c>
      <c r="R10" s="4"/>
      <c r="S10" s="61" t="s">
        <v>142</v>
      </c>
      <c r="T10" s="4" t="s">
        <v>115</v>
      </c>
      <c r="U10" s="4" t="s">
        <v>692</v>
      </c>
      <c r="V10" s="4" t="s">
        <v>75</v>
      </c>
      <c r="W10" s="4"/>
    </row>
    <row r="11" spans="1:23" ht="20.100000000000001" customHeight="1">
      <c r="A11" s="6"/>
      <c r="B11" s="553"/>
      <c r="C11" s="14" t="s">
        <v>27</v>
      </c>
      <c r="D11" s="18">
        <v>250000000</v>
      </c>
      <c r="E11" s="13">
        <f>SUM(Q149:Q153)</f>
        <v>264325000</v>
      </c>
      <c r="F11" s="37">
        <f t="shared" si="0"/>
        <v>1.0572999999999999</v>
      </c>
      <c r="G11" s="39" t="s">
        <v>35</v>
      </c>
      <c r="I11" s="4">
        <v>8</v>
      </c>
      <c r="J11" s="4" t="s">
        <v>3</v>
      </c>
      <c r="K11" s="61">
        <v>45293</v>
      </c>
      <c r="L11" s="4" t="s">
        <v>33</v>
      </c>
      <c r="M11" s="3" t="s">
        <v>72</v>
      </c>
      <c r="N11" s="4">
        <v>5</v>
      </c>
      <c r="O11" s="4"/>
      <c r="P11" s="14">
        <f t="shared" si="1"/>
        <v>200000</v>
      </c>
      <c r="Q11" s="4">
        <v>1000000</v>
      </c>
      <c r="R11" s="4"/>
      <c r="S11" s="61" t="s">
        <v>142</v>
      </c>
      <c r="T11" s="4" t="s">
        <v>84</v>
      </c>
      <c r="U11" s="4" t="s">
        <v>693</v>
      </c>
      <c r="V11" s="4" t="s">
        <v>694</v>
      </c>
      <c r="W11" s="4"/>
    </row>
    <row r="12" spans="1:23" ht="20.100000000000001" customHeight="1">
      <c r="A12" s="6"/>
      <c r="B12" s="554"/>
      <c r="C12" s="14" t="s">
        <v>14</v>
      </c>
      <c r="D12" s="18">
        <v>250000000</v>
      </c>
      <c r="E12" s="19">
        <f>SUM(Q154:Q166)</f>
        <v>396280000</v>
      </c>
      <c r="F12" s="37">
        <f t="shared" si="0"/>
        <v>1.5851200000000001</v>
      </c>
      <c r="G12" s="39" t="s">
        <v>60</v>
      </c>
      <c r="I12" s="4">
        <v>9</v>
      </c>
      <c r="J12" s="4" t="s">
        <v>3</v>
      </c>
      <c r="K12" s="61">
        <v>45293</v>
      </c>
      <c r="L12" s="4" t="s">
        <v>148</v>
      </c>
      <c r="M12" s="3" t="s">
        <v>78</v>
      </c>
      <c r="N12" s="4">
        <v>10</v>
      </c>
      <c r="O12" s="4"/>
      <c r="P12" s="14">
        <f t="shared" si="1"/>
        <v>25000</v>
      </c>
      <c r="Q12" s="4">
        <v>250000</v>
      </c>
      <c r="R12" s="4"/>
      <c r="S12" s="61" t="s">
        <v>142</v>
      </c>
      <c r="T12" s="4" t="s">
        <v>84</v>
      </c>
      <c r="U12" s="4" t="s">
        <v>59</v>
      </c>
      <c r="V12" s="4" t="s">
        <v>149</v>
      </c>
      <c r="W12" s="4"/>
    </row>
    <row r="13" spans="1:23" ht="20.100000000000001" customHeight="1">
      <c r="A13" s="6"/>
      <c r="B13" s="552" t="s">
        <v>76</v>
      </c>
      <c r="C13" s="4" t="s">
        <v>19</v>
      </c>
      <c r="D13" s="19">
        <v>140000000</v>
      </c>
      <c r="E13" s="19">
        <f>SUM(Q167:Q180)</f>
        <v>171076666</v>
      </c>
      <c r="F13" s="37">
        <f>E13/D13</f>
        <v>1.2219761857142857</v>
      </c>
      <c r="G13" s="39" t="s">
        <v>61</v>
      </c>
      <c r="I13" s="4">
        <v>10</v>
      </c>
      <c r="J13" s="4" t="s">
        <v>3</v>
      </c>
      <c r="K13" s="61">
        <v>45293</v>
      </c>
      <c r="L13" s="4" t="s">
        <v>695</v>
      </c>
      <c r="M13" s="3" t="s">
        <v>78</v>
      </c>
      <c r="N13" s="4">
        <v>10</v>
      </c>
      <c r="O13" s="4"/>
      <c r="P13" s="14">
        <f t="shared" si="1"/>
        <v>10000</v>
      </c>
      <c r="Q13" s="4">
        <v>100000</v>
      </c>
      <c r="R13" s="4"/>
      <c r="S13" s="61" t="s">
        <v>142</v>
      </c>
      <c r="T13" s="4" t="s">
        <v>84</v>
      </c>
      <c r="U13" s="4" t="s">
        <v>143</v>
      </c>
      <c r="V13" s="4" t="s">
        <v>144</v>
      </c>
      <c r="W13" s="4"/>
    </row>
    <row r="14" spans="1:23" ht="20.100000000000001" customHeight="1">
      <c r="A14" s="6"/>
      <c r="B14" s="553"/>
      <c r="C14" s="4" t="s">
        <v>29</v>
      </c>
      <c r="D14" s="19">
        <v>70000000</v>
      </c>
      <c r="E14" s="19">
        <f>SUM(Q181:R186)</f>
        <v>71083333</v>
      </c>
      <c r="F14" s="37">
        <f>E14/D14</f>
        <v>1.0154761857142858</v>
      </c>
      <c r="G14" s="39" t="s">
        <v>36</v>
      </c>
      <c r="I14" s="4">
        <v>11</v>
      </c>
      <c r="J14" s="4" t="s">
        <v>3</v>
      </c>
      <c r="K14" s="61">
        <v>45293</v>
      </c>
      <c r="L14" s="4" t="s">
        <v>150</v>
      </c>
      <c r="M14" s="3" t="s">
        <v>78</v>
      </c>
      <c r="N14" s="4">
        <v>30</v>
      </c>
      <c r="O14" s="4"/>
      <c r="P14" s="14">
        <f t="shared" si="1"/>
        <v>200000</v>
      </c>
      <c r="Q14" s="4">
        <v>6000000</v>
      </c>
      <c r="R14" s="4"/>
      <c r="S14" s="61" t="s">
        <v>142</v>
      </c>
      <c r="T14" s="4" t="s">
        <v>84</v>
      </c>
      <c r="U14" s="4" t="s">
        <v>696</v>
      </c>
      <c r="V14" s="4" t="s">
        <v>62</v>
      </c>
      <c r="W14" s="4"/>
    </row>
    <row r="15" spans="1:23" ht="20.100000000000001" customHeight="1">
      <c r="A15" s="6"/>
      <c r="B15" s="554"/>
      <c r="C15" s="4" t="s">
        <v>30</v>
      </c>
      <c r="D15" s="19">
        <v>140000000</v>
      </c>
      <c r="E15" s="19">
        <f>SUM(Q187:R197)</f>
        <v>493700000</v>
      </c>
      <c r="F15" s="37">
        <f>E15/D15</f>
        <v>3.5264285714285712</v>
      </c>
      <c r="G15" s="39" t="s">
        <v>77</v>
      </c>
      <c r="I15" s="4">
        <v>12</v>
      </c>
      <c r="J15" s="4" t="s">
        <v>3</v>
      </c>
      <c r="K15" s="61">
        <v>45294</v>
      </c>
      <c r="L15" s="4" t="s">
        <v>151</v>
      </c>
      <c r="M15" s="3" t="s">
        <v>78</v>
      </c>
      <c r="N15" s="4">
        <v>50</v>
      </c>
      <c r="O15" s="4"/>
      <c r="P15" s="14">
        <f t="shared" si="1"/>
        <v>200000</v>
      </c>
      <c r="Q15" s="4">
        <v>10000000</v>
      </c>
      <c r="R15" s="4"/>
      <c r="S15" s="61" t="s">
        <v>142</v>
      </c>
      <c r="T15" s="4" t="s">
        <v>84</v>
      </c>
      <c r="U15" s="4" t="s">
        <v>697</v>
      </c>
      <c r="V15" s="4" t="s">
        <v>152</v>
      </c>
      <c r="W15" s="4"/>
    </row>
    <row r="16" spans="1:23" ht="20.100000000000001" customHeight="1">
      <c r="B16" s="12"/>
      <c r="C16" s="12"/>
      <c r="D16" s="205"/>
      <c r="E16" s="205"/>
      <c r="F16" s="206"/>
      <c r="G16" s="12"/>
      <c r="I16" s="4">
        <v>13</v>
      </c>
      <c r="J16" s="4" t="s">
        <v>3</v>
      </c>
      <c r="K16" s="61">
        <v>45297</v>
      </c>
      <c r="L16" s="4" t="s">
        <v>698</v>
      </c>
      <c r="M16" s="3" t="s">
        <v>72</v>
      </c>
      <c r="N16" s="4">
        <v>40</v>
      </c>
      <c r="O16" s="4"/>
      <c r="P16" s="14">
        <f t="shared" si="1"/>
        <v>125000</v>
      </c>
      <c r="Q16" s="4">
        <v>5000000</v>
      </c>
      <c r="R16" s="4"/>
      <c r="S16" s="61" t="s">
        <v>142</v>
      </c>
      <c r="T16" s="4" t="s">
        <v>84</v>
      </c>
      <c r="U16" s="4" t="s">
        <v>699</v>
      </c>
      <c r="V16" s="4" t="s">
        <v>700</v>
      </c>
      <c r="W16" s="4"/>
    </row>
    <row r="17" spans="1:24" ht="20.100000000000001" customHeight="1">
      <c r="A17" s="6"/>
      <c r="B17" s="544" t="s">
        <v>53</v>
      </c>
      <c r="C17" s="545"/>
      <c r="D17" s="19">
        <f>SUM(D4:D6)</f>
        <v>500000000</v>
      </c>
      <c r="E17" s="19">
        <f>SUM(E4:E6)</f>
        <v>515791000</v>
      </c>
      <c r="F17" s="37">
        <f t="shared" ref="F17:F22" si="2">E17/D17</f>
        <v>1.031582</v>
      </c>
      <c r="G17" s="41"/>
      <c r="I17" s="4">
        <v>14</v>
      </c>
      <c r="J17" s="4" t="s">
        <v>3</v>
      </c>
      <c r="K17" s="61">
        <v>45297</v>
      </c>
      <c r="L17" s="4" t="s">
        <v>52</v>
      </c>
      <c r="M17" s="3" t="s">
        <v>78</v>
      </c>
      <c r="N17" s="4">
        <v>30</v>
      </c>
      <c r="O17" s="4"/>
      <c r="P17" s="14">
        <f t="shared" si="1"/>
        <v>16666.666666666668</v>
      </c>
      <c r="Q17" s="4">
        <v>500000</v>
      </c>
      <c r="R17" s="4"/>
      <c r="S17" s="61" t="s">
        <v>142</v>
      </c>
      <c r="T17" s="4" t="s">
        <v>84</v>
      </c>
      <c r="U17" s="4" t="s">
        <v>701</v>
      </c>
      <c r="V17" s="4" t="s">
        <v>146</v>
      </c>
      <c r="W17" s="4"/>
    </row>
    <row r="18" spans="1:24" ht="20.100000000000001" customHeight="1">
      <c r="A18" s="6"/>
      <c r="B18" s="544" t="s">
        <v>25</v>
      </c>
      <c r="C18" s="545"/>
      <c r="D18" s="19">
        <f>SUM(D7:D9)</f>
        <v>750000000</v>
      </c>
      <c r="E18" s="19">
        <f>SUM(E7:E9)</f>
        <v>496079997</v>
      </c>
      <c r="F18" s="37">
        <f t="shared" si="2"/>
        <v>0.66143999600000003</v>
      </c>
      <c r="G18" s="41"/>
      <c r="I18" s="4">
        <v>15</v>
      </c>
      <c r="J18" s="4" t="s">
        <v>3</v>
      </c>
      <c r="K18" s="61">
        <v>45297</v>
      </c>
      <c r="L18" s="4" t="s">
        <v>702</v>
      </c>
      <c r="M18" s="3" t="s">
        <v>78</v>
      </c>
      <c r="N18" s="4">
        <v>20</v>
      </c>
      <c r="O18" s="4"/>
      <c r="P18" s="14">
        <f t="shared" si="1"/>
        <v>200000</v>
      </c>
      <c r="Q18" s="4">
        <v>4000000</v>
      </c>
      <c r="R18" s="4"/>
      <c r="S18" s="61" t="s">
        <v>142</v>
      </c>
      <c r="T18" s="4" t="s">
        <v>84</v>
      </c>
      <c r="U18" s="4" t="s">
        <v>143</v>
      </c>
      <c r="V18" s="4" t="s">
        <v>75</v>
      </c>
      <c r="W18" s="4"/>
    </row>
    <row r="19" spans="1:24" ht="20.100000000000001" customHeight="1">
      <c r="A19" s="6"/>
      <c r="B19" s="544" t="s">
        <v>28</v>
      </c>
      <c r="C19" s="545"/>
      <c r="D19" s="19">
        <f>SUM(D10:D12)</f>
        <v>1400000000</v>
      </c>
      <c r="E19" s="19">
        <f>SUM(E10:E12)</f>
        <v>1597914999</v>
      </c>
      <c r="F19" s="37">
        <f t="shared" si="2"/>
        <v>1.1413678564285714</v>
      </c>
      <c r="G19" s="41"/>
      <c r="I19" s="4">
        <v>16</v>
      </c>
      <c r="J19" s="4" t="s">
        <v>3</v>
      </c>
      <c r="K19" s="62">
        <v>45672</v>
      </c>
      <c r="L19" s="258" t="s">
        <v>153</v>
      </c>
      <c r="M19" s="63" t="s">
        <v>78</v>
      </c>
      <c r="N19" s="258">
        <v>54</v>
      </c>
      <c r="O19" s="258"/>
      <c r="P19" s="258">
        <v>100000</v>
      </c>
      <c r="Q19" s="258">
        <v>5000000</v>
      </c>
      <c r="R19" s="64"/>
      <c r="S19" s="65" t="s">
        <v>142</v>
      </c>
      <c r="T19" s="258" t="s">
        <v>115</v>
      </c>
      <c r="U19" s="64" t="s">
        <v>143</v>
      </c>
      <c r="V19" s="64" t="s">
        <v>75</v>
      </c>
      <c r="W19" s="64"/>
    </row>
    <row r="20" spans="1:24" ht="20.100000000000001" customHeight="1">
      <c r="A20" s="6"/>
      <c r="B20" s="544" t="s">
        <v>76</v>
      </c>
      <c r="C20" s="545"/>
      <c r="D20" s="247">
        <f>SUM(D13:D15)</f>
        <v>350000000</v>
      </c>
      <c r="E20" s="247">
        <f>SUM(E13:E15)</f>
        <v>735859999</v>
      </c>
      <c r="F20" s="248">
        <f t="shared" si="2"/>
        <v>2.1024571399999998</v>
      </c>
      <c r="G20" s="41"/>
      <c r="H20" s="6"/>
      <c r="I20" s="4">
        <v>17</v>
      </c>
      <c r="J20" s="4" t="s">
        <v>3</v>
      </c>
      <c r="K20" s="61">
        <v>45677</v>
      </c>
      <c r="L20" s="4" t="s">
        <v>99</v>
      </c>
      <c r="M20" s="3" t="s">
        <v>102</v>
      </c>
      <c r="N20" s="17" t="s">
        <v>81</v>
      </c>
      <c r="O20" s="17"/>
      <c r="P20" s="17" t="s">
        <v>81</v>
      </c>
      <c r="Q20" s="4">
        <v>2000000</v>
      </c>
      <c r="R20" s="4"/>
      <c r="S20" s="61" t="s">
        <v>141</v>
      </c>
      <c r="T20" s="4" t="s">
        <v>115</v>
      </c>
      <c r="U20" s="4" t="s">
        <v>154</v>
      </c>
      <c r="V20" s="4" t="s">
        <v>57</v>
      </c>
      <c r="W20" s="4" t="s">
        <v>79</v>
      </c>
      <c r="X20" s="41"/>
    </row>
    <row r="21" spans="1:24" ht="20.100000000000001" customHeight="1">
      <c r="A21" s="6"/>
      <c r="B21" s="207" t="s">
        <v>1280</v>
      </c>
      <c r="C21" s="207"/>
      <c r="D21" s="207">
        <f>D17+D18</f>
        <v>1250000000</v>
      </c>
      <c r="E21" s="207">
        <f>E17+E18</f>
        <v>1011870997</v>
      </c>
      <c r="F21" s="208">
        <f t="shared" si="2"/>
        <v>0.80949679760000004</v>
      </c>
      <c r="G21" s="41"/>
      <c r="H21" s="6"/>
      <c r="I21" s="4">
        <v>18</v>
      </c>
      <c r="J21" s="4" t="s">
        <v>3</v>
      </c>
      <c r="K21" s="62">
        <v>45666</v>
      </c>
      <c r="L21" s="258" t="s">
        <v>703</v>
      </c>
      <c r="M21" s="63" t="s">
        <v>78</v>
      </c>
      <c r="N21" s="258">
        <v>70</v>
      </c>
      <c r="O21" s="258"/>
      <c r="P21" s="4">
        <f>Q21/N21</f>
        <v>32857.142857142855</v>
      </c>
      <c r="Q21" s="258">
        <v>2300000</v>
      </c>
      <c r="R21" s="4"/>
      <c r="S21" s="61" t="s">
        <v>142</v>
      </c>
      <c r="T21" s="4" t="s">
        <v>84</v>
      </c>
      <c r="U21" s="4" t="s">
        <v>143</v>
      </c>
      <c r="V21" s="4" t="s">
        <v>704</v>
      </c>
      <c r="W21" s="4"/>
      <c r="X21" s="41"/>
    </row>
    <row r="22" spans="1:24" ht="20.100000000000001" customHeight="1">
      <c r="A22" s="6"/>
      <c r="B22" s="205" t="s">
        <v>1281</v>
      </c>
      <c r="C22" s="205"/>
      <c r="D22" s="205">
        <f>D19+D20</f>
        <v>1750000000</v>
      </c>
      <c r="E22" s="205">
        <f>E19+E20</f>
        <v>2333774998</v>
      </c>
      <c r="F22" s="206">
        <f t="shared" si="2"/>
        <v>1.3335857131428572</v>
      </c>
      <c r="H22" s="6"/>
      <c r="I22" s="4">
        <v>19</v>
      </c>
      <c r="J22" s="4" t="s">
        <v>3</v>
      </c>
      <c r="K22" s="60">
        <v>45664</v>
      </c>
      <c r="L22" s="4" t="s">
        <v>155</v>
      </c>
      <c r="M22" s="3" t="s">
        <v>72</v>
      </c>
      <c r="N22" s="4">
        <v>5</v>
      </c>
      <c r="O22" s="4"/>
      <c r="P22" s="4">
        <f>Q22/N22</f>
        <v>240000</v>
      </c>
      <c r="Q22" s="4">
        <v>1200000</v>
      </c>
      <c r="R22" s="19"/>
      <c r="S22" s="61" t="s">
        <v>142</v>
      </c>
      <c r="T22" s="4" t="s">
        <v>84</v>
      </c>
      <c r="U22" s="19" t="s">
        <v>705</v>
      </c>
      <c r="V22" s="19" t="s">
        <v>75</v>
      </c>
      <c r="W22" s="19"/>
      <c r="X22" s="41"/>
    </row>
    <row r="23" spans="1:24" ht="20.100000000000001" customHeight="1">
      <c r="A23" s="6"/>
      <c r="C23" s="12"/>
      <c r="D23" s="12"/>
      <c r="E23" s="12"/>
      <c r="F23" s="115"/>
      <c r="G23" s="12"/>
      <c r="H23" s="6"/>
      <c r="I23" s="4">
        <v>20</v>
      </c>
      <c r="J23" s="4" t="s">
        <v>3</v>
      </c>
      <c r="K23" s="60">
        <v>45666</v>
      </c>
      <c r="L23" s="4" t="s">
        <v>156</v>
      </c>
      <c r="M23" s="3" t="s">
        <v>78</v>
      </c>
      <c r="N23" s="4">
        <v>12</v>
      </c>
      <c r="O23" s="4"/>
      <c r="P23" s="4">
        <f>Q23/N23</f>
        <v>187500</v>
      </c>
      <c r="Q23" s="4">
        <v>2250000</v>
      </c>
      <c r="R23" s="19"/>
      <c r="S23" s="61" t="s">
        <v>142</v>
      </c>
      <c r="T23" s="4" t="s">
        <v>84</v>
      </c>
      <c r="U23" s="19" t="s">
        <v>59</v>
      </c>
      <c r="V23" s="19" t="s">
        <v>75</v>
      </c>
      <c r="W23" s="19"/>
      <c r="X23" s="41"/>
    </row>
    <row r="24" spans="1:24" ht="20.100000000000001" customHeight="1">
      <c r="A24" s="6"/>
      <c r="H24" s="6"/>
      <c r="I24" s="4">
        <v>21</v>
      </c>
      <c r="J24" s="4" t="s">
        <v>3</v>
      </c>
      <c r="K24" s="60">
        <v>45666</v>
      </c>
      <c r="L24" s="4" t="s">
        <v>157</v>
      </c>
      <c r="M24" s="3" t="s">
        <v>78</v>
      </c>
      <c r="N24" s="4">
        <v>3</v>
      </c>
      <c r="O24" s="4"/>
      <c r="P24" s="4">
        <f>Q24/N24</f>
        <v>33333.333333333336</v>
      </c>
      <c r="Q24" s="4">
        <v>100000</v>
      </c>
      <c r="R24" s="19"/>
      <c r="S24" s="61" t="s">
        <v>142</v>
      </c>
      <c r="T24" s="4" t="s">
        <v>84</v>
      </c>
      <c r="U24" s="19" t="s">
        <v>706</v>
      </c>
      <c r="V24" s="19" t="s">
        <v>707</v>
      </c>
      <c r="W24" s="19"/>
      <c r="X24" s="41"/>
    </row>
    <row r="25" spans="1:24" ht="20.100000000000001" customHeight="1">
      <c r="A25" s="6"/>
      <c r="H25" s="6"/>
      <c r="I25" s="4">
        <v>22</v>
      </c>
      <c r="J25" s="4" t="s">
        <v>3</v>
      </c>
      <c r="K25" s="60">
        <v>45667</v>
      </c>
      <c r="L25" s="4" t="s">
        <v>158</v>
      </c>
      <c r="M25" s="3" t="s">
        <v>78</v>
      </c>
      <c r="N25" s="4">
        <v>2</v>
      </c>
      <c r="O25" s="4"/>
      <c r="P25" s="4">
        <f>Q25/N25</f>
        <v>165000</v>
      </c>
      <c r="Q25" s="4">
        <v>330000</v>
      </c>
      <c r="R25" s="19"/>
      <c r="S25" s="61" t="s">
        <v>142</v>
      </c>
      <c r="T25" s="4" t="s">
        <v>84</v>
      </c>
      <c r="U25" s="19" t="s">
        <v>708</v>
      </c>
      <c r="V25" s="19" t="s">
        <v>62</v>
      </c>
      <c r="W25" s="19"/>
      <c r="X25" s="41"/>
    </row>
    <row r="26" spans="1:24" ht="20.100000000000001" customHeight="1">
      <c r="A26" s="6"/>
      <c r="H26" s="6"/>
      <c r="I26" s="4">
        <v>23</v>
      </c>
      <c r="J26" s="4" t="s">
        <v>22</v>
      </c>
      <c r="K26" s="61">
        <v>45670</v>
      </c>
      <c r="L26" s="66" t="s">
        <v>261</v>
      </c>
      <c r="M26" s="67" t="s">
        <v>72</v>
      </c>
      <c r="N26" s="66">
        <v>9</v>
      </c>
      <c r="O26" s="66"/>
      <c r="P26" s="66">
        <v>140000</v>
      </c>
      <c r="Q26" s="66">
        <v>1200000</v>
      </c>
      <c r="R26" s="64"/>
      <c r="S26" s="61" t="s">
        <v>142</v>
      </c>
      <c r="T26" s="4" t="s">
        <v>84</v>
      </c>
      <c r="U26" s="4" t="s">
        <v>143</v>
      </c>
      <c r="V26" s="4" t="s">
        <v>709</v>
      </c>
      <c r="W26" s="4"/>
      <c r="X26" s="41"/>
    </row>
    <row r="27" spans="1:24" ht="20.100000000000001" customHeight="1">
      <c r="A27" s="6"/>
      <c r="H27" s="6"/>
      <c r="I27" s="4">
        <v>24</v>
      </c>
      <c r="J27" s="4" t="s">
        <v>22</v>
      </c>
      <c r="K27" s="61">
        <v>45678</v>
      </c>
      <c r="L27" s="66" t="s">
        <v>244</v>
      </c>
      <c r="M27" s="67" t="s">
        <v>78</v>
      </c>
      <c r="N27" s="66">
        <v>70</v>
      </c>
      <c r="O27" s="66"/>
      <c r="P27" s="66">
        <f>Q27/N27</f>
        <v>200000</v>
      </c>
      <c r="Q27" s="66">
        <v>14000000</v>
      </c>
      <c r="R27" s="64"/>
      <c r="S27" s="61" t="s">
        <v>142</v>
      </c>
      <c r="T27" s="4" t="s">
        <v>84</v>
      </c>
      <c r="U27" s="4" t="s">
        <v>710</v>
      </c>
      <c r="V27" s="4" t="s">
        <v>75</v>
      </c>
      <c r="W27" s="4"/>
      <c r="X27" s="41"/>
    </row>
    <row r="28" spans="1:24" ht="20.100000000000001" customHeight="1">
      <c r="A28" s="6"/>
      <c r="H28" s="6"/>
      <c r="I28" s="4">
        <v>25</v>
      </c>
      <c r="J28" s="4" t="s">
        <v>22</v>
      </c>
      <c r="K28" s="61">
        <v>45678</v>
      </c>
      <c r="L28" s="66" t="s">
        <v>107</v>
      </c>
      <c r="M28" s="67" t="s">
        <v>78</v>
      </c>
      <c r="N28" s="66">
        <v>29</v>
      </c>
      <c r="O28" s="66"/>
      <c r="P28" s="66">
        <f>Q28/N28</f>
        <v>50000</v>
      </c>
      <c r="Q28" s="66">
        <v>1450000</v>
      </c>
      <c r="R28" s="64"/>
      <c r="S28" s="61" t="s">
        <v>141</v>
      </c>
      <c r="T28" s="4" t="s">
        <v>84</v>
      </c>
      <c r="U28" s="4" t="s">
        <v>711</v>
      </c>
      <c r="V28" s="4" t="s">
        <v>159</v>
      </c>
      <c r="W28" s="4"/>
      <c r="X28" s="41"/>
    </row>
    <row r="29" spans="1:24" ht="20.100000000000001" customHeight="1">
      <c r="A29" s="6"/>
      <c r="H29" s="6"/>
      <c r="I29" s="4">
        <v>26</v>
      </c>
      <c r="J29" s="4" t="s">
        <v>22</v>
      </c>
      <c r="K29" s="61">
        <v>45679</v>
      </c>
      <c r="L29" s="66" t="s">
        <v>266</v>
      </c>
      <c r="M29" s="67" t="s">
        <v>78</v>
      </c>
      <c r="N29" s="66">
        <v>20</v>
      </c>
      <c r="O29" s="66"/>
      <c r="P29" s="66">
        <v>150000</v>
      </c>
      <c r="Q29" s="66">
        <v>3300000</v>
      </c>
      <c r="R29" s="64"/>
      <c r="S29" s="61" t="s">
        <v>142</v>
      </c>
      <c r="T29" s="4" t="s">
        <v>84</v>
      </c>
      <c r="U29" s="4" t="s">
        <v>160</v>
      </c>
      <c r="V29" s="4" t="s">
        <v>712</v>
      </c>
      <c r="W29" s="4"/>
      <c r="X29" s="41"/>
    </row>
    <row r="30" spans="1:24" ht="20.100000000000001" customHeight="1">
      <c r="A30" s="6"/>
      <c r="H30" s="6"/>
      <c r="I30" s="4">
        <v>27</v>
      </c>
      <c r="J30" s="4" t="s">
        <v>22</v>
      </c>
      <c r="K30" s="61">
        <v>45679</v>
      </c>
      <c r="L30" s="66" t="s">
        <v>278</v>
      </c>
      <c r="M30" s="67" t="s">
        <v>72</v>
      </c>
      <c r="N30" s="66">
        <v>24</v>
      </c>
      <c r="O30" s="66"/>
      <c r="P30" s="66">
        <f t="shared" ref="P30:P36" si="3">Q30/N30</f>
        <v>150000</v>
      </c>
      <c r="Q30" s="66">
        <v>3600000</v>
      </c>
      <c r="R30" s="64"/>
      <c r="S30" s="61" t="s">
        <v>142</v>
      </c>
      <c r="T30" s="4" t="s">
        <v>84</v>
      </c>
      <c r="U30" s="4" t="s">
        <v>713</v>
      </c>
      <c r="V30" s="4" t="s">
        <v>714</v>
      </c>
      <c r="W30" s="4"/>
      <c r="X30" s="41"/>
    </row>
    <row r="31" spans="1:24" ht="20.100000000000001" customHeight="1">
      <c r="A31" s="6"/>
      <c r="H31" s="6"/>
      <c r="I31" s="4">
        <v>28</v>
      </c>
      <c r="J31" s="4" t="s">
        <v>3</v>
      </c>
      <c r="K31" s="60">
        <v>45681</v>
      </c>
      <c r="L31" s="4" t="s">
        <v>206</v>
      </c>
      <c r="M31" s="3" t="s">
        <v>78</v>
      </c>
      <c r="N31" s="4">
        <v>220</v>
      </c>
      <c r="O31" s="4"/>
      <c r="P31" s="4">
        <f t="shared" si="3"/>
        <v>20909.090909090908</v>
      </c>
      <c r="Q31" s="4">
        <v>4600000</v>
      </c>
      <c r="R31" s="19"/>
      <c r="S31" s="61" t="s">
        <v>142</v>
      </c>
      <c r="T31" s="4" t="s">
        <v>84</v>
      </c>
      <c r="U31" s="19" t="s">
        <v>715</v>
      </c>
      <c r="V31" s="19" t="s">
        <v>716</v>
      </c>
      <c r="W31" s="19"/>
      <c r="X31" s="41"/>
    </row>
    <row r="32" spans="1:24" ht="20.100000000000001" customHeight="1">
      <c r="A32" s="6"/>
      <c r="H32" s="6"/>
      <c r="I32" s="4">
        <v>29</v>
      </c>
      <c r="J32" s="4" t="s">
        <v>3</v>
      </c>
      <c r="K32" s="60">
        <v>45681</v>
      </c>
      <c r="L32" s="4" t="s">
        <v>161</v>
      </c>
      <c r="M32" s="3" t="s">
        <v>78</v>
      </c>
      <c r="N32" s="4">
        <v>32</v>
      </c>
      <c r="O32" s="4"/>
      <c r="P32" s="4">
        <f t="shared" si="3"/>
        <v>20625</v>
      </c>
      <c r="Q32" s="4">
        <v>660000</v>
      </c>
      <c r="R32" s="19"/>
      <c r="S32" s="61" t="s">
        <v>142</v>
      </c>
      <c r="T32" s="4" t="s">
        <v>84</v>
      </c>
      <c r="U32" s="19" t="s">
        <v>717</v>
      </c>
      <c r="V32" s="19" t="s">
        <v>716</v>
      </c>
      <c r="W32" s="19"/>
      <c r="X32" s="41"/>
    </row>
    <row r="33" spans="1:24" ht="20.100000000000001" customHeight="1">
      <c r="A33" s="6"/>
      <c r="H33" s="6"/>
      <c r="I33" s="4">
        <v>30</v>
      </c>
      <c r="J33" s="4" t="s">
        <v>3</v>
      </c>
      <c r="K33" s="60">
        <v>45681</v>
      </c>
      <c r="L33" s="4" t="s">
        <v>199</v>
      </c>
      <c r="M33" s="3" t="s">
        <v>78</v>
      </c>
      <c r="N33" s="4">
        <v>16</v>
      </c>
      <c r="O33" s="4"/>
      <c r="P33" s="4">
        <f t="shared" si="3"/>
        <v>20625</v>
      </c>
      <c r="Q33" s="4">
        <v>330000</v>
      </c>
      <c r="R33" s="19"/>
      <c r="S33" s="61" t="s">
        <v>142</v>
      </c>
      <c r="T33" s="4" t="s">
        <v>84</v>
      </c>
      <c r="U33" s="19" t="s">
        <v>717</v>
      </c>
      <c r="V33" s="19" t="s">
        <v>718</v>
      </c>
      <c r="W33" s="19"/>
      <c r="X33" s="41"/>
    </row>
    <row r="34" spans="1:24" ht="20.100000000000001" customHeight="1">
      <c r="A34" s="6"/>
      <c r="H34" s="6"/>
      <c r="I34" s="4">
        <v>31</v>
      </c>
      <c r="J34" s="4" t="s">
        <v>3</v>
      </c>
      <c r="K34" s="61">
        <v>45678</v>
      </c>
      <c r="L34" s="4" t="s">
        <v>162</v>
      </c>
      <c r="M34" s="3" t="s">
        <v>78</v>
      </c>
      <c r="N34" s="4">
        <v>115</v>
      </c>
      <c r="O34" s="4"/>
      <c r="P34" s="4">
        <f t="shared" si="3"/>
        <v>173913.04347826086</v>
      </c>
      <c r="Q34" s="4">
        <v>20000000</v>
      </c>
      <c r="R34" s="4"/>
      <c r="S34" s="61" t="s">
        <v>141</v>
      </c>
      <c r="T34" s="4" t="s">
        <v>84</v>
      </c>
      <c r="U34" s="4" t="s">
        <v>719</v>
      </c>
      <c r="V34" s="4" t="s">
        <v>720</v>
      </c>
      <c r="W34" s="4"/>
      <c r="X34" s="41"/>
    </row>
    <row r="35" spans="1:24" ht="20.100000000000001" customHeight="1">
      <c r="A35" s="6"/>
      <c r="H35" s="6"/>
      <c r="I35" s="4">
        <v>32</v>
      </c>
      <c r="J35" s="4" t="s">
        <v>22</v>
      </c>
      <c r="K35" s="61">
        <v>45680</v>
      </c>
      <c r="L35" s="66" t="s">
        <v>294</v>
      </c>
      <c r="M35" s="67" t="s">
        <v>78</v>
      </c>
      <c r="N35" s="66">
        <v>27</v>
      </c>
      <c r="O35" s="66"/>
      <c r="P35" s="66">
        <f t="shared" si="3"/>
        <v>200000</v>
      </c>
      <c r="Q35" s="66">
        <v>5400000</v>
      </c>
      <c r="R35" s="64"/>
      <c r="S35" s="61" t="s">
        <v>142</v>
      </c>
      <c r="T35" s="4" t="s">
        <v>84</v>
      </c>
      <c r="U35" s="4" t="s">
        <v>721</v>
      </c>
      <c r="V35" s="4" t="s">
        <v>146</v>
      </c>
      <c r="W35" s="4"/>
      <c r="X35" s="41"/>
    </row>
    <row r="36" spans="1:24" ht="20.100000000000001" customHeight="1" thickBot="1">
      <c r="A36" s="6"/>
      <c r="H36" s="6"/>
      <c r="I36" s="4">
        <v>33</v>
      </c>
      <c r="J36" s="68" t="s">
        <v>3</v>
      </c>
      <c r="K36" s="69">
        <v>45681</v>
      </c>
      <c r="L36" s="68" t="s">
        <v>722</v>
      </c>
      <c r="M36" s="70" t="s">
        <v>72</v>
      </c>
      <c r="N36" s="68">
        <v>250</v>
      </c>
      <c r="O36" s="68"/>
      <c r="P36" s="68">
        <f t="shared" si="3"/>
        <v>160000</v>
      </c>
      <c r="Q36" s="68">
        <v>40000000</v>
      </c>
      <c r="R36" s="68"/>
      <c r="S36" s="69" t="s">
        <v>141</v>
      </c>
      <c r="T36" s="68" t="s">
        <v>115</v>
      </c>
      <c r="U36" s="68" t="s">
        <v>154</v>
      </c>
      <c r="V36" s="68" t="s">
        <v>57</v>
      </c>
      <c r="W36" s="68" t="s">
        <v>79</v>
      </c>
      <c r="X36" s="41"/>
    </row>
    <row r="37" spans="1:24" ht="20.100000000000001" customHeight="1" thickTop="1">
      <c r="A37" s="6"/>
      <c r="H37" s="6"/>
      <c r="I37" s="4">
        <v>34</v>
      </c>
      <c r="J37" s="4" t="s">
        <v>1</v>
      </c>
      <c r="K37" s="61">
        <v>45672</v>
      </c>
      <c r="L37" s="66" t="s">
        <v>723</v>
      </c>
      <c r="M37" s="67" t="s">
        <v>724</v>
      </c>
      <c r="N37" s="66" t="s">
        <v>81</v>
      </c>
      <c r="O37" s="66"/>
      <c r="P37" s="66" t="s">
        <v>81</v>
      </c>
      <c r="Q37" s="66">
        <v>20400000</v>
      </c>
      <c r="R37" s="64"/>
      <c r="S37" s="61" t="s">
        <v>141</v>
      </c>
      <c r="T37" s="4" t="s">
        <v>115</v>
      </c>
      <c r="U37" s="4" t="s">
        <v>143</v>
      </c>
      <c r="V37" s="4" t="s">
        <v>683</v>
      </c>
      <c r="W37" s="4"/>
      <c r="X37" s="41"/>
    </row>
    <row r="38" spans="1:24" ht="20.100000000000001" customHeight="1">
      <c r="A38" s="6"/>
      <c r="H38" s="6"/>
      <c r="I38" s="4">
        <v>35</v>
      </c>
      <c r="J38" s="4" t="s">
        <v>4</v>
      </c>
      <c r="K38" s="61">
        <v>45689</v>
      </c>
      <c r="L38" s="66" t="s">
        <v>85</v>
      </c>
      <c r="M38" s="67" t="s">
        <v>86</v>
      </c>
      <c r="N38" s="66">
        <v>3</v>
      </c>
      <c r="O38" s="66"/>
      <c r="P38" s="66">
        <v>83333.333333333328</v>
      </c>
      <c r="Q38" s="66">
        <v>250000</v>
      </c>
      <c r="R38" s="64"/>
      <c r="S38" s="61" t="s">
        <v>87</v>
      </c>
      <c r="T38" s="4" t="s">
        <v>88</v>
      </c>
      <c r="U38" s="4" t="s">
        <v>89</v>
      </c>
      <c r="V38" s="4" t="s">
        <v>90</v>
      </c>
      <c r="W38" s="4"/>
      <c r="X38" s="41"/>
    </row>
    <row r="39" spans="1:24" ht="20.100000000000001" customHeight="1">
      <c r="A39" s="6"/>
      <c r="H39" s="6"/>
      <c r="I39" s="4">
        <v>36</v>
      </c>
      <c r="J39" s="4" t="s">
        <v>1</v>
      </c>
      <c r="K39" s="61">
        <v>45691</v>
      </c>
      <c r="L39" s="66" t="s">
        <v>163</v>
      </c>
      <c r="M39" s="67" t="s">
        <v>72</v>
      </c>
      <c r="N39" s="66">
        <v>6</v>
      </c>
      <c r="O39" s="66"/>
      <c r="P39" s="66">
        <f>Q39/N39</f>
        <v>200000</v>
      </c>
      <c r="Q39" s="66">
        <v>1200000</v>
      </c>
      <c r="R39" s="64"/>
      <c r="S39" s="61" t="s">
        <v>142</v>
      </c>
      <c r="T39" s="4" t="s">
        <v>84</v>
      </c>
      <c r="U39" s="4" t="s">
        <v>143</v>
      </c>
      <c r="V39" s="4" t="s">
        <v>144</v>
      </c>
      <c r="W39" s="4"/>
      <c r="X39" s="41"/>
    </row>
    <row r="40" spans="1:24" ht="20.100000000000001" customHeight="1">
      <c r="A40" s="6"/>
      <c r="H40" s="6"/>
      <c r="I40" s="4">
        <v>37</v>
      </c>
      <c r="J40" s="4" t="s">
        <v>1</v>
      </c>
      <c r="K40" s="60">
        <v>45691</v>
      </c>
      <c r="L40" s="66" t="s">
        <v>164</v>
      </c>
      <c r="M40" s="67" t="s">
        <v>78</v>
      </c>
      <c r="N40" s="66">
        <v>300</v>
      </c>
      <c r="O40" s="66"/>
      <c r="P40" s="66">
        <f>Q40/N40</f>
        <v>110000</v>
      </c>
      <c r="Q40" s="66">
        <v>33000000</v>
      </c>
      <c r="R40" s="64"/>
      <c r="S40" s="61" t="s">
        <v>141</v>
      </c>
      <c r="T40" s="4" t="s">
        <v>84</v>
      </c>
      <c r="U40" s="4" t="s">
        <v>143</v>
      </c>
      <c r="V40" s="4" t="s">
        <v>725</v>
      </c>
      <c r="W40" s="4"/>
      <c r="X40" s="41"/>
    </row>
    <row r="41" spans="1:24" ht="20.100000000000001" customHeight="1">
      <c r="A41" s="6"/>
      <c r="H41" s="6"/>
      <c r="I41" s="4">
        <v>38</v>
      </c>
      <c r="J41" s="4" t="s">
        <v>1</v>
      </c>
      <c r="K41" s="60">
        <v>45691</v>
      </c>
      <c r="L41" s="66" t="s">
        <v>329</v>
      </c>
      <c r="M41" s="67" t="s">
        <v>78</v>
      </c>
      <c r="N41" s="66">
        <v>47</v>
      </c>
      <c r="O41" s="66"/>
      <c r="P41" s="66">
        <f>Q41/N41</f>
        <v>34042.553191489358</v>
      </c>
      <c r="Q41" s="66">
        <v>1600000</v>
      </c>
      <c r="R41" s="64"/>
      <c r="S41" s="61" t="s">
        <v>142</v>
      </c>
      <c r="T41" s="4" t="s">
        <v>84</v>
      </c>
      <c r="U41" s="4" t="s">
        <v>143</v>
      </c>
      <c r="V41" s="4" t="s">
        <v>726</v>
      </c>
      <c r="W41" s="4"/>
      <c r="X41" s="41"/>
    </row>
    <row r="42" spans="1:24" ht="20.100000000000001" customHeight="1">
      <c r="A42" s="6"/>
      <c r="H42" s="6"/>
      <c r="I42" s="4">
        <v>39</v>
      </c>
      <c r="J42" s="258" t="s">
        <v>1</v>
      </c>
      <c r="K42" s="62">
        <v>45712</v>
      </c>
      <c r="L42" s="66" t="s">
        <v>65</v>
      </c>
      <c r="M42" s="67" t="s">
        <v>72</v>
      </c>
      <c r="N42" s="66">
        <v>1450</v>
      </c>
      <c r="O42" s="66"/>
      <c r="P42" s="66">
        <f>Q42/N42</f>
        <v>96551.724137931029</v>
      </c>
      <c r="Q42" s="66">
        <v>140000000</v>
      </c>
      <c r="R42" s="71"/>
      <c r="S42" s="60" t="s">
        <v>141</v>
      </c>
      <c r="T42" s="66" t="s">
        <v>115</v>
      </c>
      <c r="U42" s="66" t="s">
        <v>154</v>
      </c>
      <c r="V42" s="66" t="s">
        <v>165</v>
      </c>
      <c r="W42" s="66" t="s">
        <v>79</v>
      </c>
      <c r="X42" s="41"/>
    </row>
    <row r="43" spans="1:24" ht="20.100000000000001" customHeight="1">
      <c r="A43" s="6"/>
      <c r="H43" s="6"/>
      <c r="I43" s="4">
        <v>40</v>
      </c>
      <c r="J43" s="4" t="s">
        <v>1</v>
      </c>
      <c r="K43" s="60">
        <v>45698</v>
      </c>
      <c r="L43" s="60" t="s">
        <v>64</v>
      </c>
      <c r="M43" s="67" t="s">
        <v>78</v>
      </c>
      <c r="N43" s="66">
        <v>20</v>
      </c>
      <c r="O43" s="66"/>
      <c r="P43" s="66">
        <v>50000</v>
      </c>
      <c r="Q43" s="66">
        <v>1000000</v>
      </c>
      <c r="R43" s="71"/>
      <c r="S43" s="60" t="s">
        <v>142</v>
      </c>
      <c r="T43" s="14" t="s">
        <v>84</v>
      </c>
      <c r="U43" s="14" t="s">
        <v>727</v>
      </c>
      <c r="V43" s="14" t="s">
        <v>725</v>
      </c>
      <c r="W43" s="14"/>
      <c r="X43" s="41"/>
    </row>
    <row r="44" spans="1:24" ht="20.100000000000001" customHeight="1">
      <c r="A44" s="6"/>
      <c r="H44" s="6"/>
      <c r="I44" s="4">
        <v>41</v>
      </c>
      <c r="J44" s="4" t="s">
        <v>1</v>
      </c>
      <c r="K44" s="60">
        <v>45698</v>
      </c>
      <c r="L44" s="66" t="s">
        <v>63</v>
      </c>
      <c r="M44" s="67" t="s">
        <v>72</v>
      </c>
      <c r="N44" s="66">
        <v>4</v>
      </c>
      <c r="O44" s="66"/>
      <c r="P44" s="66">
        <v>200000</v>
      </c>
      <c r="Q44" s="66">
        <v>800000</v>
      </c>
      <c r="R44" s="71"/>
      <c r="S44" s="60" t="s">
        <v>142</v>
      </c>
      <c r="T44" s="14" t="s">
        <v>84</v>
      </c>
      <c r="U44" s="14" t="s">
        <v>728</v>
      </c>
      <c r="V44" s="14" t="s">
        <v>75</v>
      </c>
      <c r="W44" s="14"/>
      <c r="X44" s="41"/>
    </row>
    <row r="45" spans="1:24" ht="20.100000000000001" customHeight="1">
      <c r="A45" s="6"/>
      <c r="H45" s="6"/>
      <c r="I45" s="4">
        <v>42</v>
      </c>
      <c r="J45" s="4" t="s">
        <v>1</v>
      </c>
      <c r="K45" s="60">
        <v>45698</v>
      </c>
      <c r="L45" s="66" t="s">
        <v>729</v>
      </c>
      <c r="M45" s="67" t="s">
        <v>72</v>
      </c>
      <c r="N45" s="66">
        <v>1</v>
      </c>
      <c r="O45" s="66"/>
      <c r="P45" s="66">
        <v>380000</v>
      </c>
      <c r="Q45" s="66">
        <v>380000</v>
      </c>
      <c r="R45" s="71"/>
      <c r="S45" s="60" t="s">
        <v>142</v>
      </c>
      <c r="T45" s="14" t="s">
        <v>115</v>
      </c>
      <c r="U45" s="14" t="s">
        <v>730</v>
      </c>
      <c r="V45" s="14" t="s">
        <v>690</v>
      </c>
      <c r="W45" s="14" t="s">
        <v>79</v>
      </c>
      <c r="X45" s="41"/>
    </row>
    <row r="46" spans="1:24" ht="20.100000000000001" customHeight="1">
      <c r="A46" s="6"/>
      <c r="H46" s="6"/>
      <c r="I46" s="4">
        <v>43</v>
      </c>
      <c r="J46" s="4" t="s">
        <v>1</v>
      </c>
      <c r="K46" s="60">
        <v>45698</v>
      </c>
      <c r="L46" s="66" t="s">
        <v>166</v>
      </c>
      <c r="M46" s="67" t="s">
        <v>78</v>
      </c>
      <c r="N46" s="66">
        <v>3</v>
      </c>
      <c r="O46" s="66"/>
      <c r="P46" s="66">
        <v>100000</v>
      </c>
      <c r="Q46" s="66">
        <v>300000</v>
      </c>
      <c r="R46" s="71"/>
      <c r="S46" s="60" t="s">
        <v>142</v>
      </c>
      <c r="T46" s="14" t="s">
        <v>84</v>
      </c>
      <c r="U46" s="14" t="s">
        <v>731</v>
      </c>
      <c r="V46" s="14" t="s">
        <v>725</v>
      </c>
      <c r="W46" s="14"/>
      <c r="X46" s="41"/>
    </row>
    <row r="47" spans="1:24" ht="20.100000000000001" customHeight="1">
      <c r="A47" s="6"/>
      <c r="H47" s="6"/>
      <c r="I47" s="4">
        <v>44</v>
      </c>
      <c r="J47" s="4" t="s">
        <v>1</v>
      </c>
      <c r="K47" s="60">
        <v>45698</v>
      </c>
      <c r="L47" s="66" t="s">
        <v>732</v>
      </c>
      <c r="M47" s="67" t="s">
        <v>72</v>
      </c>
      <c r="N47" s="66">
        <v>14</v>
      </c>
      <c r="O47" s="66"/>
      <c r="P47" s="66">
        <v>200000</v>
      </c>
      <c r="Q47" s="66">
        <v>2800000</v>
      </c>
      <c r="R47" s="71"/>
      <c r="S47" s="60" t="s">
        <v>142</v>
      </c>
      <c r="T47" s="14" t="s">
        <v>84</v>
      </c>
      <c r="U47" s="14" t="s">
        <v>733</v>
      </c>
      <c r="V47" s="14" t="s">
        <v>144</v>
      </c>
      <c r="W47" s="14"/>
      <c r="X47" s="41"/>
    </row>
    <row r="48" spans="1:24" ht="20.100000000000001" customHeight="1">
      <c r="A48" s="6"/>
      <c r="H48" s="6"/>
      <c r="I48" s="4">
        <v>45</v>
      </c>
      <c r="J48" s="4" t="s">
        <v>1</v>
      </c>
      <c r="K48" s="60">
        <v>45702</v>
      </c>
      <c r="L48" s="66" t="s">
        <v>167</v>
      </c>
      <c r="M48" s="67" t="s">
        <v>78</v>
      </c>
      <c r="N48" s="66">
        <v>5</v>
      </c>
      <c r="O48" s="66"/>
      <c r="P48" s="66">
        <v>25000</v>
      </c>
      <c r="Q48" s="66">
        <v>125000</v>
      </c>
      <c r="R48" s="71"/>
      <c r="S48" s="60" t="s">
        <v>142</v>
      </c>
      <c r="T48" s="14" t="s">
        <v>84</v>
      </c>
      <c r="U48" s="14" t="s">
        <v>734</v>
      </c>
      <c r="V48" s="14" t="s">
        <v>75</v>
      </c>
      <c r="W48" s="14"/>
      <c r="X48" s="41"/>
    </row>
    <row r="49" spans="1:24" ht="20.100000000000001" customHeight="1">
      <c r="A49" s="6"/>
      <c r="H49" s="6"/>
      <c r="I49" s="4">
        <v>46</v>
      </c>
      <c r="J49" s="4" t="s">
        <v>1</v>
      </c>
      <c r="K49" s="60">
        <v>45702</v>
      </c>
      <c r="L49" s="66" t="s">
        <v>168</v>
      </c>
      <c r="M49" s="67" t="s">
        <v>185</v>
      </c>
      <c r="N49" s="66">
        <v>45</v>
      </c>
      <c r="O49" s="66"/>
      <c r="P49" s="66">
        <v>366666</v>
      </c>
      <c r="Q49" s="66">
        <v>16500000</v>
      </c>
      <c r="R49" s="71"/>
      <c r="S49" s="60" t="s">
        <v>142</v>
      </c>
      <c r="T49" s="14" t="s">
        <v>84</v>
      </c>
      <c r="U49" s="14" t="s">
        <v>735</v>
      </c>
      <c r="V49" s="14" t="s">
        <v>75</v>
      </c>
      <c r="W49" s="14"/>
      <c r="X49" s="41"/>
    </row>
    <row r="50" spans="1:24" ht="20.100000000000001" customHeight="1">
      <c r="A50" s="6"/>
      <c r="H50" s="6"/>
      <c r="I50" s="4">
        <v>47</v>
      </c>
      <c r="J50" s="4" t="s">
        <v>1</v>
      </c>
      <c r="K50" s="60">
        <v>45702</v>
      </c>
      <c r="L50" s="66" t="s">
        <v>80</v>
      </c>
      <c r="M50" s="67" t="s">
        <v>78</v>
      </c>
      <c r="N50" s="66">
        <v>110</v>
      </c>
      <c r="O50" s="66"/>
      <c r="P50" s="66">
        <v>83333</v>
      </c>
      <c r="Q50" s="66">
        <v>1000000</v>
      </c>
      <c r="R50" s="71"/>
      <c r="S50" s="60" t="s">
        <v>142</v>
      </c>
      <c r="T50" s="14" t="s">
        <v>84</v>
      </c>
      <c r="U50" s="14" t="s">
        <v>736</v>
      </c>
      <c r="V50" s="14" t="s">
        <v>169</v>
      </c>
      <c r="W50" s="14"/>
      <c r="X50" s="41"/>
    </row>
    <row r="51" spans="1:24" ht="20.100000000000001" customHeight="1">
      <c r="A51" s="6"/>
      <c r="H51" s="6"/>
      <c r="I51" s="4">
        <v>48</v>
      </c>
      <c r="J51" s="4" t="s">
        <v>1</v>
      </c>
      <c r="K51" s="60">
        <v>45705</v>
      </c>
      <c r="L51" s="66" t="s">
        <v>737</v>
      </c>
      <c r="M51" s="67" t="s">
        <v>72</v>
      </c>
      <c r="N51" s="66">
        <v>45</v>
      </c>
      <c r="O51" s="66"/>
      <c r="P51" s="66">
        <v>110000</v>
      </c>
      <c r="Q51" s="66">
        <v>4950000</v>
      </c>
      <c r="R51" s="71"/>
      <c r="S51" s="60" t="s">
        <v>142</v>
      </c>
      <c r="T51" s="14" t="s">
        <v>115</v>
      </c>
      <c r="U51" s="14" t="s">
        <v>738</v>
      </c>
      <c r="V51" s="14" t="s">
        <v>739</v>
      </c>
      <c r="W51" s="14" t="s">
        <v>79</v>
      </c>
      <c r="X51" s="41"/>
    </row>
    <row r="52" spans="1:24" ht="20.100000000000001" customHeight="1">
      <c r="A52" s="6"/>
      <c r="H52" s="6"/>
      <c r="I52" s="4">
        <v>49</v>
      </c>
      <c r="J52" s="4" t="s">
        <v>1</v>
      </c>
      <c r="K52" s="62">
        <v>45707</v>
      </c>
      <c r="L52" s="66" t="s">
        <v>740</v>
      </c>
      <c r="M52" s="67" t="s">
        <v>78</v>
      </c>
      <c r="N52" s="66">
        <v>10</v>
      </c>
      <c r="O52" s="66"/>
      <c r="P52" s="66">
        <v>58300</v>
      </c>
      <c r="Q52" s="66">
        <v>583000</v>
      </c>
      <c r="R52" s="71"/>
      <c r="S52" s="62" t="s">
        <v>142</v>
      </c>
      <c r="T52" s="66" t="s">
        <v>84</v>
      </c>
      <c r="U52" s="14" t="s">
        <v>741</v>
      </c>
      <c r="V52" s="66" t="s">
        <v>789</v>
      </c>
      <c r="W52" s="66"/>
      <c r="X52" s="41"/>
    </row>
    <row r="53" spans="1:24" ht="20.100000000000001" customHeight="1">
      <c r="A53" s="6"/>
      <c r="H53" s="6"/>
      <c r="I53" s="4">
        <v>50</v>
      </c>
      <c r="J53" s="4" t="s">
        <v>1</v>
      </c>
      <c r="K53" s="62">
        <v>45707</v>
      </c>
      <c r="L53" s="66" t="s">
        <v>742</v>
      </c>
      <c r="M53" s="67" t="s">
        <v>78</v>
      </c>
      <c r="N53" s="66">
        <v>1</v>
      </c>
      <c r="O53" s="66"/>
      <c r="P53" s="66">
        <v>100000</v>
      </c>
      <c r="Q53" s="66">
        <v>1000000</v>
      </c>
      <c r="R53" s="71"/>
      <c r="S53" s="62" t="s">
        <v>142</v>
      </c>
      <c r="T53" s="66" t="s">
        <v>84</v>
      </c>
      <c r="U53" s="14" t="s">
        <v>743</v>
      </c>
      <c r="V53" s="66" t="s">
        <v>152</v>
      </c>
      <c r="W53" s="66"/>
      <c r="X53" s="41"/>
    </row>
    <row r="54" spans="1:24" ht="20.100000000000001" customHeight="1">
      <c r="A54" s="6"/>
      <c r="H54" s="6"/>
      <c r="I54" s="4">
        <v>51</v>
      </c>
      <c r="J54" s="4" t="s">
        <v>1</v>
      </c>
      <c r="K54" s="62">
        <v>45712</v>
      </c>
      <c r="L54" s="66" t="s">
        <v>339</v>
      </c>
      <c r="M54" s="67" t="s">
        <v>78</v>
      </c>
      <c r="N54" s="66">
        <v>20</v>
      </c>
      <c r="O54" s="66"/>
      <c r="P54" s="66">
        <v>200000</v>
      </c>
      <c r="Q54" s="66">
        <v>4000000</v>
      </c>
      <c r="R54" s="71"/>
      <c r="S54" s="62" t="s">
        <v>142</v>
      </c>
      <c r="T54" s="66" t="s">
        <v>84</v>
      </c>
      <c r="U54" s="14" t="s">
        <v>744</v>
      </c>
      <c r="V54" s="66"/>
      <c r="W54" s="73"/>
      <c r="X54" s="41"/>
    </row>
    <row r="55" spans="1:24" ht="20.100000000000001" customHeight="1">
      <c r="A55" s="6"/>
      <c r="H55" s="6"/>
      <c r="I55" s="4">
        <v>52</v>
      </c>
      <c r="J55" s="256" t="s">
        <v>4</v>
      </c>
      <c r="K55" s="74">
        <v>45709</v>
      </c>
      <c r="L55" s="75" t="s">
        <v>745</v>
      </c>
      <c r="M55" s="76" t="s">
        <v>78</v>
      </c>
      <c r="N55" s="75">
        <v>18</v>
      </c>
      <c r="O55" s="75"/>
      <c r="P55" s="75">
        <v>34000</v>
      </c>
      <c r="Q55" s="75">
        <v>7200000</v>
      </c>
      <c r="R55" s="77"/>
      <c r="S55" s="74" t="s">
        <v>142</v>
      </c>
      <c r="T55" s="73" t="s">
        <v>115</v>
      </c>
      <c r="U55" s="75" t="s">
        <v>746</v>
      </c>
      <c r="V55" s="73" t="s">
        <v>747</v>
      </c>
      <c r="W55" s="73"/>
      <c r="X55" s="41"/>
    </row>
    <row r="56" spans="1:24" ht="20.100000000000001" customHeight="1" thickBot="1">
      <c r="A56" s="6"/>
      <c r="H56" s="6"/>
      <c r="I56" s="4">
        <v>53</v>
      </c>
      <c r="J56" s="68" t="s">
        <v>1</v>
      </c>
      <c r="K56" s="78">
        <v>45712</v>
      </c>
      <c r="L56" s="72" t="s">
        <v>748</v>
      </c>
      <c r="M56" s="79" t="s">
        <v>102</v>
      </c>
      <c r="N56" s="72">
        <v>0</v>
      </c>
      <c r="O56" s="72"/>
      <c r="P56" s="72" t="s">
        <v>81</v>
      </c>
      <c r="Q56" s="72">
        <v>2000000</v>
      </c>
      <c r="R56" s="80"/>
      <c r="S56" s="78" t="s">
        <v>141</v>
      </c>
      <c r="T56" s="72" t="s">
        <v>115</v>
      </c>
      <c r="U56" s="72" t="s">
        <v>154</v>
      </c>
      <c r="V56" s="72" t="s">
        <v>749</v>
      </c>
      <c r="W56" s="72" t="s">
        <v>79</v>
      </c>
      <c r="X56" s="41"/>
    </row>
    <row r="57" spans="1:24" ht="20.100000000000001" customHeight="1" thickTop="1">
      <c r="A57" s="6"/>
      <c r="H57" s="6"/>
      <c r="I57" s="4">
        <v>54</v>
      </c>
      <c r="J57" s="81" t="s">
        <v>18</v>
      </c>
      <c r="K57" s="82">
        <v>45720</v>
      </c>
      <c r="L57" s="83" t="s">
        <v>750</v>
      </c>
      <c r="M57" s="84" t="s">
        <v>78</v>
      </c>
      <c r="N57" s="83">
        <v>200</v>
      </c>
      <c r="O57" s="83"/>
      <c r="P57" s="83">
        <v>166667</v>
      </c>
      <c r="Q57" s="83">
        <v>33333000</v>
      </c>
      <c r="R57" s="85"/>
      <c r="S57" s="82" t="s">
        <v>142</v>
      </c>
      <c r="T57" s="83" t="s">
        <v>115</v>
      </c>
      <c r="U57" s="83" t="s">
        <v>751</v>
      </c>
      <c r="V57" s="83" t="s">
        <v>739</v>
      </c>
      <c r="W57" s="83"/>
      <c r="X57" s="41"/>
    </row>
    <row r="58" spans="1:24" ht="20.100000000000001" customHeight="1">
      <c r="A58" s="6"/>
      <c r="H58" s="6"/>
      <c r="I58" s="4">
        <v>55</v>
      </c>
      <c r="J58" s="258" t="s">
        <v>18</v>
      </c>
      <c r="K58" s="62">
        <v>45720</v>
      </c>
      <c r="L58" s="66" t="s">
        <v>752</v>
      </c>
      <c r="M58" s="67" t="s">
        <v>72</v>
      </c>
      <c r="N58" s="66">
        <v>25</v>
      </c>
      <c r="O58" s="66"/>
      <c r="P58" s="66">
        <f>Q58/N58</f>
        <v>120000</v>
      </c>
      <c r="Q58" s="66">
        <v>3000000</v>
      </c>
      <c r="R58" s="71"/>
      <c r="S58" s="62" t="s">
        <v>142</v>
      </c>
      <c r="T58" s="66" t="s">
        <v>115</v>
      </c>
      <c r="U58" s="14" t="s">
        <v>790</v>
      </c>
      <c r="V58" s="66" t="s">
        <v>683</v>
      </c>
      <c r="W58" s="66" t="s">
        <v>79</v>
      </c>
      <c r="X58" s="41"/>
    </row>
    <row r="59" spans="1:24" ht="20.100000000000001" customHeight="1">
      <c r="A59" s="6"/>
      <c r="I59" s="4">
        <v>56</v>
      </c>
      <c r="J59" s="258" t="s">
        <v>18</v>
      </c>
      <c r="K59" s="62">
        <v>45720</v>
      </c>
      <c r="L59" s="66" t="s">
        <v>753</v>
      </c>
      <c r="M59" s="67" t="s">
        <v>78</v>
      </c>
      <c r="N59" s="66">
        <v>15</v>
      </c>
      <c r="O59" s="66"/>
      <c r="P59" s="66">
        <f>Q59/N59</f>
        <v>83333.333333333328</v>
      </c>
      <c r="Q59" s="66">
        <f>15000000/12</f>
        <v>1250000</v>
      </c>
      <c r="R59" s="71"/>
      <c r="S59" s="62" t="s">
        <v>142</v>
      </c>
      <c r="T59" s="66" t="s">
        <v>115</v>
      </c>
      <c r="U59" s="66" t="s">
        <v>754</v>
      </c>
      <c r="V59" s="66" t="s">
        <v>171</v>
      </c>
      <c r="W59" s="66"/>
    </row>
    <row r="60" spans="1:24" ht="20.100000000000001" customHeight="1">
      <c r="A60" s="6"/>
      <c r="I60" s="4">
        <v>57</v>
      </c>
      <c r="J60" s="258" t="s">
        <v>18</v>
      </c>
      <c r="K60" s="65">
        <v>45720</v>
      </c>
      <c r="L60" s="66" t="s">
        <v>172</v>
      </c>
      <c r="M60" s="67" t="s">
        <v>78</v>
      </c>
      <c r="N60" s="66">
        <v>60</v>
      </c>
      <c r="O60" s="66"/>
      <c r="P60" s="66">
        <v>25000</v>
      </c>
      <c r="Q60" s="66">
        <v>1500000</v>
      </c>
      <c r="R60" s="71"/>
      <c r="S60" s="62" t="s">
        <v>142</v>
      </c>
      <c r="T60" s="66" t="s">
        <v>84</v>
      </c>
      <c r="U60" s="66" t="s">
        <v>755</v>
      </c>
      <c r="V60" s="66" t="s">
        <v>34</v>
      </c>
      <c r="W60" s="66"/>
    </row>
    <row r="61" spans="1:24" ht="20.100000000000001" customHeight="1">
      <c r="A61" s="6"/>
      <c r="I61" s="4">
        <v>58</v>
      </c>
      <c r="J61" s="258" t="s">
        <v>18</v>
      </c>
      <c r="K61" s="65">
        <v>45720</v>
      </c>
      <c r="L61" s="66" t="s">
        <v>173</v>
      </c>
      <c r="M61" s="67" t="s">
        <v>78</v>
      </c>
      <c r="N61" s="66">
        <v>20</v>
      </c>
      <c r="O61" s="66"/>
      <c r="P61" s="66">
        <v>41666</v>
      </c>
      <c r="Q61" s="66">
        <v>830000</v>
      </c>
      <c r="R61" s="71"/>
      <c r="S61" s="62" t="s">
        <v>142</v>
      </c>
      <c r="T61" s="66" t="s">
        <v>84</v>
      </c>
      <c r="U61" s="66" t="s">
        <v>59</v>
      </c>
      <c r="V61" s="66" t="s">
        <v>756</v>
      </c>
      <c r="W61" s="66"/>
    </row>
    <row r="62" spans="1:24" ht="20.100000000000001" customHeight="1">
      <c r="A62" s="6"/>
      <c r="I62" s="4">
        <v>59</v>
      </c>
      <c r="J62" s="4" t="s">
        <v>18</v>
      </c>
      <c r="K62" s="60">
        <v>45720</v>
      </c>
      <c r="L62" s="66" t="s">
        <v>189</v>
      </c>
      <c r="M62" s="67" t="s">
        <v>78</v>
      </c>
      <c r="N62" s="66">
        <v>60</v>
      </c>
      <c r="O62" s="66"/>
      <c r="P62" s="66">
        <f>Q62/N62</f>
        <v>141666.66666666666</v>
      </c>
      <c r="Q62" s="66">
        <v>8500000</v>
      </c>
      <c r="R62" s="64"/>
      <c r="S62" s="61" t="s">
        <v>141</v>
      </c>
      <c r="T62" s="4" t="s">
        <v>84</v>
      </c>
      <c r="U62" s="4" t="s">
        <v>757</v>
      </c>
      <c r="V62" s="4" t="s">
        <v>725</v>
      </c>
      <c r="W62" s="4"/>
    </row>
    <row r="63" spans="1:24" ht="20.100000000000001" customHeight="1">
      <c r="A63" s="6"/>
      <c r="I63" s="4">
        <v>60</v>
      </c>
      <c r="J63" s="258" t="s">
        <v>18</v>
      </c>
      <c r="K63" s="65">
        <v>45720</v>
      </c>
      <c r="L63" s="66" t="s">
        <v>174</v>
      </c>
      <c r="M63" s="67" t="s">
        <v>72</v>
      </c>
      <c r="N63" s="66">
        <v>430</v>
      </c>
      <c r="O63" s="66"/>
      <c r="P63" s="66">
        <v>140000</v>
      </c>
      <c r="Q63" s="66">
        <v>10000000</v>
      </c>
      <c r="R63" s="64"/>
      <c r="S63" s="65" t="s">
        <v>142</v>
      </c>
      <c r="T63" s="258" t="s">
        <v>84</v>
      </c>
      <c r="U63" s="258" t="s">
        <v>758</v>
      </c>
      <c r="V63" s="258" t="s">
        <v>171</v>
      </c>
      <c r="W63" s="258"/>
    </row>
    <row r="64" spans="1:24" ht="20.100000000000001" customHeight="1">
      <c r="A64" s="6"/>
      <c r="I64" s="4">
        <v>61</v>
      </c>
      <c r="J64" s="4" t="s">
        <v>18</v>
      </c>
      <c r="K64" s="61">
        <v>45720</v>
      </c>
      <c r="L64" s="14" t="s">
        <v>175</v>
      </c>
      <c r="M64" s="67" t="s">
        <v>78</v>
      </c>
      <c r="N64" s="14"/>
      <c r="O64" s="14"/>
      <c r="P64" s="86" t="s">
        <v>81</v>
      </c>
      <c r="Q64" s="14">
        <v>2500000</v>
      </c>
      <c r="R64" s="19"/>
      <c r="S64" s="65" t="s">
        <v>142</v>
      </c>
      <c r="T64" s="258" t="s">
        <v>84</v>
      </c>
      <c r="U64" s="4" t="s">
        <v>759</v>
      </c>
      <c r="V64" s="4" t="s">
        <v>760</v>
      </c>
      <c r="W64" s="4"/>
    </row>
    <row r="65" spans="1:23" ht="20.100000000000001" customHeight="1">
      <c r="A65" s="6"/>
      <c r="I65" s="4">
        <v>62</v>
      </c>
      <c r="J65" s="258" t="s">
        <v>18</v>
      </c>
      <c r="K65" s="65">
        <v>45721</v>
      </c>
      <c r="L65" s="66" t="s">
        <v>462</v>
      </c>
      <c r="M65" s="67" t="s">
        <v>78</v>
      </c>
      <c r="N65" s="66">
        <v>10</v>
      </c>
      <c r="O65" s="66"/>
      <c r="P65" s="66">
        <v>83000</v>
      </c>
      <c r="Q65" s="66">
        <v>830000</v>
      </c>
      <c r="R65" s="64"/>
      <c r="S65" s="65" t="s">
        <v>142</v>
      </c>
      <c r="T65" s="258" t="s">
        <v>84</v>
      </c>
      <c r="U65" s="258" t="s">
        <v>761</v>
      </c>
      <c r="V65" s="258" t="s">
        <v>34</v>
      </c>
      <c r="W65" s="258"/>
    </row>
    <row r="66" spans="1:23" ht="20.100000000000001" customHeight="1">
      <c r="A66" s="6"/>
      <c r="I66" s="4">
        <v>63</v>
      </c>
      <c r="J66" s="4" t="s">
        <v>18</v>
      </c>
      <c r="K66" s="60">
        <v>45720</v>
      </c>
      <c r="L66" s="14" t="s">
        <v>91</v>
      </c>
      <c r="M66" s="87" t="s">
        <v>86</v>
      </c>
      <c r="N66" s="14">
        <v>500</v>
      </c>
      <c r="O66" s="14"/>
      <c r="P66" s="14">
        <v>25000</v>
      </c>
      <c r="Q66" s="14">
        <v>12500000</v>
      </c>
      <c r="R66" s="13"/>
      <c r="S66" s="60" t="s">
        <v>92</v>
      </c>
      <c r="T66" s="14" t="s">
        <v>88</v>
      </c>
      <c r="U66" s="14" t="s">
        <v>93</v>
      </c>
      <c r="V66" s="14" t="s">
        <v>94</v>
      </c>
      <c r="W66" s="14"/>
    </row>
    <row r="67" spans="1:23" ht="20.100000000000001" customHeight="1">
      <c r="I67" s="4">
        <v>64</v>
      </c>
      <c r="J67" s="258" t="s">
        <v>18</v>
      </c>
      <c r="K67" s="65">
        <v>45721</v>
      </c>
      <c r="L67" s="66" t="s">
        <v>400</v>
      </c>
      <c r="M67" s="67" t="s">
        <v>78</v>
      </c>
      <c r="N67" s="66">
        <v>40</v>
      </c>
      <c r="O67" s="66"/>
      <c r="P67" s="66">
        <v>10000</v>
      </c>
      <c r="Q67" s="66">
        <v>530000</v>
      </c>
      <c r="R67" s="64"/>
      <c r="S67" s="65" t="s">
        <v>142</v>
      </c>
      <c r="T67" s="258" t="s">
        <v>84</v>
      </c>
      <c r="U67" s="258" t="s">
        <v>143</v>
      </c>
      <c r="V67" s="258" t="s">
        <v>159</v>
      </c>
      <c r="W67" s="258"/>
    </row>
    <row r="68" spans="1:23" ht="20.100000000000001" customHeight="1">
      <c r="I68" s="4">
        <v>65</v>
      </c>
      <c r="J68" s="258" t="s">
        <v>18</v>
      </c>
      <c r="K68" s="65">
        <v>45722</v>
      </c>
      <c r="L68" s="66" t="s">
        <v>176</v>
      </c>
      <c r="M68" s="67" t="s">
        <v>78</v>
      </c>
      <c r="N68" s="66">
        <v>10</v>
      </c>
      <c r="O68" s="66"/>
      <c r="P68" s="66">
        <v>30000</v>
      </c>
      <c r="Q68" s="66">
        <v>250000</v>
      </c>
      <c r="R68" s="64"/>
      <c r="S68" s="65" t="s">
        <v>142</v>
      </c>
      <c r="T68" s="258" t="s">
        <v>84</v>
      </c>
      <c r="U68" s="258" t="s">
        <v>59</v>
      </c>
      <c r="V68" s="258" t="s">
        <v>171</v>
      </c>
      <c r="W68" s="258"/>
    </row>
    <row r="69" spans="1:23" ht="20.100000000000001" customHeight="1">
      <c r="I69" s="4">
        <v>66</v>
      </c>
      <c r="J69" s="258" t="s">
        <v>18</v>
      </c>
      <c r="K69" s="65">
        <v>45723</v>
      </c>
      <c r="L69" s="66" t="s">
        <v>467</v>
      </c>
      <c r="M69" s="67" t="s">
        <v>78</v>
      </c>
      <c r="N69" s="66">
        <v>5</v>
      </c>
      <c r="O69" s="66"/>
      <c r="P69" s="66">
        <v>500000</v>
      </c>
      <c r="Q69" s="66">
        <v>500000</v>
      </c>
      <c r="R69" s="64"/>
      <c r="S69" s="65" t="s">
        <v>142</v>
      </c>
      <c r="T69" s="258" t="s">
        <v>84</v>
      </c>
      <c r="U69" s="258" t="s">
        <v>59</v>
      </c>
      <c r="V69" s="258" t="s">
        <v>762</v>
      </c>
      <c r="W69" s="258"/>
    </row>
    <row r="70" spans="1:23" ht="20.100000000000001" customHeight="1">
      <c r="I70" s="4">
        <v>67</v>
      </c>
      <c r="J70" s="258" t="s">
        <v>18</v>
      </c>
      <c r="K70" s="65">
        <v>45723</v>
      </c>
      <c r="L70" s="66" t="s">
        <v>472</v>
      </c>
      <c r="M70" s="67" t="s">
        <v>78</v>
      </c>
      <c r="N70" s="66">
        <v>5</v>
      </c>
      <c r="O70" s="66"/>
      <c r="P70" s="66">
        <v>32000</v>
      </c>
      <c r="Q70" s="66">
        <v>160000</v>
      </c>
      <c r="R70" s="64"/>
      <c r="S70" s="65" t="s">
        <v>142</v>
      </c>
      <c r="T70" s="258" t="s">
        <v>84</v>
      </c>
      <c r="U70" s="258" t="s">
        <v>715</v>
      </c>
      <c r="V70" s="258" t="s">
        <v>34</v>
      </c>
      <c r="W70" s="258"/>
    </row>
    <row r="71" spans="1:23" ht="20.100000000000001" customHeight="1" thickBot="1">
      <c r="I71" s="4">
        <v>68</v>
      </c>
      <c r="J71" s="68" t="s">
        <v>18</v>
      </c>
      <c r="K71" s="69">
        <v>45733</v>
      </c>
      <c r="L71" s="72" t="s">
        <v>187</v>
      </c>
      <c r="M71" s="79" t="s">
        <v>78</v>
      </c>
      <c r="N71" s="72">
        <v>120</v>
      </c>
      <c r="O71" s="72"/>
      <c r="P71" s="72">
        <v>500000</v>
      </c>
      <c r="Q71" s="72">
        <v>5000000</v>
      </c>
      <c r="R71" s="88"/>
      <c r="S71" s="69" t="s">
        <v>142</v>
      </c>
      <c r="T71" s="68" t="s">
        <v>84</v>
      </c>
      <c r="U71" s="68" t="s">
        <v>763</v>
      </c>
      <c r="V71" s="68" t="s">
        <v>177</v>
      </c>
      <c r="W71" s="68"/>
    </row>
    <row r="72" spans="1:23" ht="20.100000000000001" customHeight="1" thickTop="1">
      <c r="I72" s="4">
        <v>69</v>
      </c>
      <c r="J72" s="258" t="s">
        <v>13</v>
      </c>
      <c r="K72" s="65">
        <v>45748</v>
      </c>
      <c r="L72" s="66" t="s">
        <v>764</v>
      </c>
      <c r="M72" s="67" t="s">
        <v>78</v>
      </c>
      <c r="N72" s="66">
        <v>40</v>
      </c>
      <c r="O72" s="66"/>
      <c r="P72" s="66">
        <v>150000</v>
      </c>
      <c r="Q72" s="66">
        <v>6000000</v>
      </c>
      <c r="R72" s="64"/>
      <c r="S72" s="65" t="s">
        <v>142</v>
      </c>
      <c r="T72" s="258" t="s">
        <v>84</v>
      </c>
      <c r="U72" s="258" t="s">
        <v>738</v>
      </c>
      <c r="V72" s="258" t="s">
        <v>178</v>
      </c>
      <c r="W72" s="258"/>
    </row>
    <row r="73" spans="1:23" ht="20.100000000000001" customHeight="1">
      <c r="I73" s="4">
        <v>70</v>
      </c>
      <c r="J73" s="258" t="s">
        <v>13</v>
      </c>
      <c r="K73" s="65">
        <v>45748</v>
      </c>
      <c r="L73" s="66" t="s">
        <v>179</v>
      </c>
      <c r="M73" s="67" t="s">
        <v>78</v>
      </c>
      <c r="N73" s="66">
        <v>230</v>
      </c>
      <c r="O73" s="66"/>
      <c r="P73" s="66">
        <v>47101</v>
      </c>
      <c r="Q73" s="66">
        <v>10833333</v>
      </c>
      <c r="R73" s="64"/>
      <c r="S73" s="65" t="s">
        <v>142</v>
      </c>
      <c r="T73" s="258" t="s">
        <v>84</v>
      </c>
      <c r="U73" s="258" t="s">
        <v>763</v>
      </c>
      <c r="V73" s="258" t="s">
        <v>57</v>
      </c>
      <c r="W73" s="258"/>
    </row>
    <row r="74" spans="1:23" ht="20.100000000000001" customHeight="1">
      <c r="I74" s="4">
        <v>71</v>
      </c>
      <c r="J74" s="258" t="s">
        <v>13</v>
      </c>
      <c r="K74" s="65">
        <v>45748</v>
      </c>
      <c r="L74" s="66" t="s">
        <v>498</v>
      </c>
      <c r="M74" s="67" t="s">
        <v>78</v>
      </c>
      <c r="N74" s="66">
        <v>74</v>
      </c>
      <c r="O74" s="66"/>
      <c r="P74" s="90">
        <v>20000</v>
      </c>
      <c r="Q74" s="90">
        <v>1480000</v>
      </c>
      <c r="R74" s="64"/>
      <c r="S74" s="65" t="s">
        <v>142</v>
      </c>
      <c r="T74" s="258" t="s">
        <v>84</v>
      </c>
      <c r="U74" s="258" t="s">
        <v>765</v>
      </c>
      <c r="V74" s="258" t="s">
        <v>712</v>
      </c>
      <c r="W74" s="258"/>
    </row>
    <row r="75" spans="1:23" ht="20.100000000000001" customHeight="1">
      <c r="I75" s="4">
        <v>72</v>
      </c>
      <c r="J75" s="258" t="s">
        <v>13</v>
      </c>
      <c r="K75" s="65">
        <v>45748</v>
      </c>
      <c r="L75" s="66" t="s">
        <v>113</v>
      </c>
      <c r="M75" s="67" t="s">
        <v>78</v>
      </c>
      <c r="N75" s="66">
        <v>40</v>
      </c>
      <c r="O75" s="66"/>
      <c r="P75" s="90" t="s">
        <v>81</v>
      </c>
      <c r="Q75" s="90" t="s">
        <v>81</v>
      </c>
      <c r="R75" s="64"/>
      <c r="S75" s="65" t="s">
        <v>142</v>
      </c>
      <c r="T75" s="258" t="s">
        <v>84</v>
      </c>
      <c r="U75" s="258" t="s">
        <v>766</v>
      </c>
      <c r="V75" s="258" t="s">
        <v>75</v>
      </c>
      <c r="W75" s="258"/>
    </row>
    <row r="76" spans="1:23" ht="20.100000000000001" customHeight="1">
      <c r="I76" s="4">
        <v>73</v>
      </c>
      <c r="J76" s="258" t="s">
        <v>13</v>
      </c>
      <c r="K76" s="65">
        <v>45748</v>
      </c>
      <c r="L76" s="66" t="s">
        <v>180</v>
      </c>
      <c r="M76" s="67" t="s">
        <v>72</v>
      </c>
      <c r="N76" s="66">
        <v>14</v>
      </c>
      <c r="O76" s="66"/>
      <c r="P76" s="66">
        <v>240000</v>
      </c>
      <c r="Q76" s="66">
        <v>3000000</v>
      </c>
      <c r="R76" s="64"/>
      <c r="S76" s="65" t="s">
        <v>142</v>
      </c>
      <c r="T76" s="258" t="s">
        <v>84</v>
      </c>
      <c r="U76" s="258" t="s">
        <v>733</v>
      </c>
      <c r="V76" s="258" t="s">
        <v>144</v>
      </c>
      <c r="W76" s="258"/>
    </row>
    <row r="77" spans="1:23" ht="20.100000000000001" customHeight="1">
      <c r="I77" s="4">
        <v>74</v>
      </c>
      <c r="J77" s="258" t="s">
        <v>13</v>
      </c>
      <c r="K77" s="65">
        <v>45748</v>
      </c>
      <c r="L77" s="66" t="s">
        <v>531</v>
      </c>
      <c r="M77" s="67" t="s">
        <v>72</v>
      </c>
      <c r="N77" s="66">
        <v>22</v>
      </c>
      <c r="O77" s="66"/>
      <c r="P77" s="66">
        <v>180000</v>
      </c>
      <c r="Q77" s="66">
        <v>4000000</v>
      </c>
      <c r="R77" s="64"/>
      <c r="S77" s="65" t="s">
        <v>142</v>
      </c>
      <c r="T77" s="258" t="s">
        <v>84</v>
      </c>
      <c r="U77" s="258" t="s">
        <v>143</v>
      </c>
      <c r="V77" s="258" t="s">
        <v>144</v>
      </c>
      <c r="W77" s="258"/>
    </row>
    <row r="78" spans="1:23" ht="20.100000000000001" customHeight="1">
      <c r="I78" s="4">
        <v>75</v>
      </c>
      <c r="J78" s="258" t="s">
        <v>13</v>
      </c>
      <c r="K78" s="65">
        <v>45748</v>
      </c>
      <c r="L78" s="66" t="s">
        <v>181</v>
      </c>
      <c r="M78" s="67" t="s">
        <v>78</v>
      </c>
      <c r="N78" s="66">
        <v>2</v>
      </c>
      <c r="O78" s="66"/>
      <c r="P78" s="66">
        <v>800000</v>
      </c>
      <c r="Q78" s="66">
        <v>1600000</v>
      </c>
      <c r="R78" s="64"/>
      <c r="S78" s="65" t="s">
        <v>142</v>
      </c>
      <c r="T78" s="258" t="s">
        <v>84</v>
      </c>
      <c r="U78" s="258" t="s">
        <v>767</v>
      </c>
      <c r="V78" s="258" t="s">
        <v>75</v>
      </c>
      <c r="W78" s="258"/>
    </row>
    <row r="79" spans="1:23" ht="20.100000000000001" customHeight="1">
      <c r="I79" s="4">
        <v>76</v>
      </c>
      <c r="J79" s="258" t="s">
        <v>13</v>
      </c>
      <c r="K79" s="65">
        <v>45748</v>
      </c>
      <c r="L79" s="66" t="s">
        <v>768</v>
      </c>
      <c r="M79" s="67" t="s">
        <v>78</v>
      </c>
      <c r="N79" s="66">
        <v>7</v>
      </c>
      <c r="O79" s="66"/>
      <c r="P79" s="66">
        <v>200000</v>
      </c>
      <c r="Q79" s="66">
        <v>1400000</v>
      </c>
      <c r="R79" s="64"/>
      <c r="S79" s="65" t="s">
        <v>142</v>
      </c>
      <c r="T79" s="258" t="s">
        <v>84</v>
      </c>
      <c r="U79" s="258" t="s">
        <v>685</v>
      </c>
      <c r="V79" s="258" t="s">
        <v>769</v>
      </c>
      <c r="W79" s="258"/>
    </row>
    <row r="80" spans="1:23" ht="20.100000000000001" customHeight="1">
      <c r="I80" s="4">
        <v>77</v>
      </c>
      <c r="J80" s="258" t="s">
        <v>13</v>
      </c>
      <c r="K80" s="65">
        <v>45748</v>
      </c>
      <c r="L80" s="66" t="s">
        <v>182</v>
      </c>
      <c r="M80" s="67" t="s">
        <v>78</v>
      </c>
      <c r="N80" s="66">
        <v>7</v>
      </c>
      <c r="O80" s="66"/>
      <c r="P80" s="66">
        <v>50000</v>
      </c>
      <c r="Q80" s="66">
        <v>350000</v>
      </c>
      <c r="R80" s="64"/>
      <c r="S80" s="65" t="s">
        <v>142</v>
      </c>
      <c r="T80" s="258" t="s">
        <v>84</v>
      </c>
      <c r="U80" s="258" t="s">
        <v>143</v>
      </c>
      <c r="V80" s="258" t="s">
        <v>171</v>
      </c>
      <c r="W80" s="258"/>
    </row>
    <row r="81" spans="9:23" ht="20.100000000000001" customHeight="1">
      <c r="I81" s="4">
        <v>78</v>
      </c>
      <c r="J81" s="258" t="s">
        <v>13</v>
      </c>
      <c r="K81" s="65">
        <v>45748</v>
      </c>
      <c r="L81" s="66" t="s">
        <v>579</v>
      </c>
      <c r="M81" s="67" t="s">
        <v>78</v>
      </c>
      <c r="N81" s="66">
        <v>20</v>
      </c>
      <c r="O81" s="66"/>
      <c r="P81" s="66">
        <v>41666</v>
      </c>
      <c r="Q81" s="66">
        <v>833333</v>
      </c>
      <c r="R81" s="64"/>
      <c r="S81" s="65" t="s">
        <v>142</v>
      </c>
      <c r="T81" s="258" t="s">
        <v>84</v>
      </c>
      <c r="U81" s="258" t="s">
        <v>770</v>
      </c>
      <c r="V81" s="258" t="s">
        <v>771</v>
      </c>
      <c r="W81" s="258"/>
    </row>
    <row r="82" spans="9:23" ht="20.100000000000001" customHeight="1">
      <c r="I82" s="4">
        <v>79</v>
      </c>
      <c r="J82" s="258" t="s">
        <v>13</v>
      </c>
      <c r="K82" s="65">
        <v>45748</v>
      </c>
      <c r="L82" s="66" t="s">
        <v>772</v>
      </c>
      <c r="M82" s="67" t="s">
        <v>102</v>
      </c>
      <c r="N82" s="66">
        <v>0</v>
      </c>
      <c r="O82" s="66"/>
      <c r="P82" s="66">
        <v>15000</v>
      </c>
      <c r="Q82" s="66">
        <v>2000000</v>
      </c>
      <c r="R82" s="64"/>
      <c r="S82" s="65" t="s">
        <v>141</v>
      </c>
      <c r="T82" s="258" t="s">
        <v>115</v>
      </c>
      <c r="U82" s="258" t="s">
        <v>154</v>
      </c>
      <c r="V82" s="258" t="s">
        <v>170</v>
      </c>
      <c r="W82" s="258" t="s">
        <v>79</v>
      </c>
    </row>
    <row r="83" spans="9:23" ht="20.100000000000001" customHeight="1">
      <c r="I83" s="4">
        <v>80</v>
      </c>
      <c r="J83" s="258" t="s">
        <v>13</v>
      </c>
      <c r="K83" s="65">
        <v>45748</v>
      </c>
      <c r="L83" s="66" t="s">
        <v>101</v>
      </c>
      <c r="M83" s="67" t="s">
        <v>102</v>
      </c>
      <c r="N83" s="66">
        <v>0</v>
      </c>
      <c r="O83" s="66"/>
      <c r="P83" s="66">
        <v>15000</v>
      </c>
      <c r="Q83" s="66">
        <v>2000000</v>
      </c>
      <c r="R83" s="64"/>
      <c r="S83" s="65" t="s">
        <v>141</v>
      </c>
      <c r="T83" s="258" t="s">
        <v>115</v>
      </c>
      <c r="U83" s="258" t="s">
        <v>154</v>
      </c>
      <c r="V83" s="258" t="s">
        <v>170</v>
      </c>
      <c r="W83" s="258" t="s">
        <v>79</v>
      </c>
    </row>
    <row r="84" spans="9:23" ht="20.100000000000001" customHeight="1">
      <c r="I84" s="4">
        <v>81</v>
      </c>
      <c r="J84" s="258" t="s">
        <v>13</v>
      </c>
      <c r="K84" s="65" t="s">
        <v>773</v>
      </c>
      <c r="L84" s="66" t="s">
        <v>774</v>
      </c>
      <c r="M84" s="67" t="s">
        <v>102</v>
      </c>
      <c r="N84" s="66">
        <v>0</v>
      </c>
      <c r="O84" s="66"/>
      <c r="P84" s="66">
        <v>150000</v>
      </c>
      <c r="Q84" s="66">
        <v>2000000</v>
      </c>
      <c r="R84" s="64"/>
      <c r="S84" s="65" t="s">
        <v>141</v>
      </c>
      <c r="T84" s="258" t="s">
        <v>115</v>
      </c>
      <c r="U84" s="258" t="s">
        <v>154</v>
      </c>
      <c r="V84" s="258" t="s">
        <v>170</v>
      </c>
      <c r="W84" s="258" t="s">
        <v>79</v>
      </c>
    </row>
    <row r="85" spans="9:23" ht="20.100000000000001" customHeight="1">
      <c r="I85" s="4">
        <v>82</v>
      </c>
      <c r="J85" s="258" t="s">
        <v>13</v>
      </c>
      <c r="K85" s="65" t="s">
        <v>773</v>
      </c>
      <c r="L85" s="66" t="s">
        <v>775</v>
      </c>
      <c r="M85" s="67" t="s">
        <v>102</v>
      </c>
      <c r="N85" s="66">
        <v>0</v>
      </c>
      <c r="O85" s="66"/>
      <c r="P85" s="66">
        <v>150000</v>
      </c>
      <c r="Q85" s="66">
        <v>2000000</v>
      </c>
      <c r="R85" s="64"/>
      <c r="S85" s="65" t="s">
        <v>141</v>
      </c>
      <c r="T85" s="258" t="s">
        <v>115</v>
      </c>
      <c r="U85" s="258" t="s">
        <v>154</v>
      </c>
      <c r="V85" s="258" t="s">
        <v>170</v>
      </c>
      <c r="W85" s="258" t="s">
        <v>79</v>
      </c>
    </row>
    <row r="86" spans="9:23" ht="18.75" customHeight="1">
      <c r="I86" s="4">
        <v>83</v>
      </c>
      <c r="J86" s="258" t="s">
        <v>13</v>
      </c>
      <c r="K86" s="65">
        <v>45748</v>
      </c>
      <c r="L86" s="66" t="s">
        <v>777</v>
      </c>
      <c r="M86" s="67" t="s">
        <v>72</v>
      </c>
      <c r="N86" s="66">
        <v>7</v>
      </c>
      <c r="O86" s="66"/>
      <c r="P86" s="66">
        <v>150000</v>
      </c>
      <c r="Q86" s="66">
        <f>P86*N86</f>
        <v>1050000</v>
      </c>
      <c r="R86" s="64"/>
      <c r="S86" s="65" t="s">
        <v>141</v>
      </c>
      <c r="T86" s="258" t="s">
        <v>115</v>
      </c>
      <c r="U86" s="258" t="s">
        <v>778</v>
      </c>
      <c r="V86" s="258" t="s">
        <v>739</v>
      </c>
      <c r="W86" s="258"/>
    </row>
    <row r="87" spans="9:23" ht="20.100000000000001" customHeight="1">
      <c r="I87" s="4">
        <v>84</v>
      </c>
      <c r="J87" s="258" t="s">
        <v>13</v>
      </c>
      <c r="K87" s="65">
        <v>45754</v>
      </c>
      <c r="L87" s="66" t="s">
        <v>153</v>
      </c>
      <c r="M87" s="67" t="s">
        <v>72</v>
      </c>
      <c r="N87" s="66">
        <v>55</v>
      </c>
      <c r="O87" s="66"/>
      <c r="P87" s="66">
        <v>200000</v>
      </c>
      <c r="Q87" s="66">
        <v>8000000</v>
      </c>
      <c r="R87" s="64"/>
      <c r="S87" s="65" t="s">
        <v>141</v>
      </c>
      <c r="T87" s="258" t="s">
        <v>115</v>
      </c>
      <c r="U87" s="64" t="s">
        <v>143</v>
      </c>
      <c r="V87" s="258" t="s">
        <v>178</v>
      </c>
      <c r="W87" s="258"/>
    </row>
    <row r="88" spans="9:23" ht="20.100000000000001" customHeight="1">
      <c r="I88" s="4">
        <v>85</v>
      </c>
      <c r="J88" s="258" t="s">
        <v>13</v>
      </c>
      <c r="K88" s="65">
        <v>45749</v>
      </c>
      <c r="L88" s="66" t="s">
        <v>188</v>
      </c>
      <c r="M88" s="67" t="s">
        <v>72</v>
      </c>
      <c r="N88" s="66">
        <v>200</v>
      </c>
      <c r="O88" s="66"/>
      <c r="P88" s="66">
        <v>150000</v>
      </c>
      <c r="Q88" s="66">
        <v>40000000</v>
      </c>
      <c r="R88" s="64"/>
      <c r="S88" s="65" t="s">
        <v>142</v>
      </c>
      <c r="T88" s="258" t="s">
        <v>84</v>
      </c>
      <c r="U88" s="258" t="s">
        <v>779</v>
      </c>
      <c r="V88" s="258" t="s">
        <v>75</v>
      </c>
      <c r="W88" s="258"/>
    </row>
    <row r="89" spans="9:23" ht="20.100000000000001" customHeight="1">
      <c r="I89" s="4">
        <v>86</v>
      </c>
      <c r="J89" s="258" t="s">
        <v>13</v>
      </c>
      <c r="K89" s="65">
        <v>45761</v>
      </c>
      <c r="L89" s="66" t="s">
        <v>183</v>
      </c>
      <c r="M89" s="67" t="s">
        <v>72</v>
      </c>
      <c r="N89" s="66">
        <v>50</v>
      </c>
      <c r="O89" s="66"/>
      <c r="P89" s="66">
        <v>80000</v>
      </c>
      <c r="Q89" s="66">
        <v>3600000</v>
      </c>
      <c r="R89" s="64"/>
      <c r="S89" s="65" t="s">
        <v>142</v>
      </c>
      <c r="T89" s="258" t="s">
        <v>84</v>
      </c>
      <c r="U89" s="258" t="s">
        <v>682</v>
      </c>
      <c r="V89" s="258" t="s">
        <v>171</v>
      </c>
      <c r="W89" s="258"/>
    </row>
    <row r="90" spans="9:23" ht="20.100000000000001" customHeight="1">
      <c r="I90" s="4">
        <v>87</v>
      </c>
      <c r="J90" s="258" t="s">
        <v>13</v>
      </c>
      <c r="K90" s="65">
        <v>45761</v>
      </c>
      <c r="L90" s="66" t="s">
        <v>521</v>
      </c>
      <c r="M90" s="67" t="s">
        <v>72</v>
      </c>
      <c r="N90" s="66">
        <v>40</v>
      </c>
      <c r="O90" s="66"/>
      <c r="P90" s="66">
        <v>25000</v>
      </c>
      <c r="Q90" s="66">
        <v>1000000</v>
      </c>
      <c r="R90" s="64"/>
      <c r="S90" s="65" t="s">
        <v>142</v>
      </c>
      <c r="T90" s="258" t="s">
        <v>84</v>
      </c>
      <c r="U90" s="258" t="s">
        <v>782</v>
      </c>
      <c r="V90" s="258" t="s">
        <v>75</v>
      </c>
      <c r="W90" s="258"/>
    </row>
    <row r="91" spans="9:23" ht="20.100000000000001" customHeight="1">
      <c r="I91" s="4">
        <v>88</v>
      </c>
      <c r="J91" s="258" t="s">
        <v>13</v>
      </c>
      <c r="K91" s="65">
        <v>45761</v>
      </c>
      <c r="L91" s="66" t="s">
        <v>183</v>
      </c>
      <c r="M91" s="67" t="s">
        <v>72</v>
      </c>
      <c r="N91" s="66">
        <v>40</v>
      </c>
      <c r="O91" s="66"/>
      <c r="P91" s="66">
        <v>80000</v>
      </c>
      <c r="Q91" s="66">
        <v>3200000</v>
      </c>
      <c r="R91" s="64"/>
      <c r="S91" s="65" t="s">
        <v>142</v>
      </c>
      <c r="T91" s="258" t="s">
        <v>84</v>
      </c>
      <c r="U91" s="258" t="s">
        <v>682</v>
      </c>
      <c r="V91" s="258" t="s">
        <v>171</v>
      </c>
      <c r="W91" s="258"/>
    </row>
    <row r="92" spans="9:23" ht="20.100000000000001" customHeight="1">
      <c r="I92" s="4">
        <v>89</v>
      </c>
      <c r="J92" s="258" t="s">
        <v>13</v>
      </c>
      <c r="K92" s="65">
        <v>45761</v>
      </c>
      <c r="L92" s="66" t="s">
        <v>783</v>
      </c>
      <c r="M92" s="67" t="s">
        <v>72</v>
      </c>
      <c r="N92" s="66">
        <v>26</v>
      </c>
      <c r="O92" s="66"/>
      <c r="P92" s="66">
        <v>200000</v>
      </c>
      <c r="Q92" s="66">
        <v>6000000</v>
      </c>
      <c r="R92" s="64"/>
      <c r="S92" s="65" t="s">
        <v>142</v>
      </c>
      <c r="T92" s="258" t="s">
        <v>84</v>
      </c>
      <c r="U92" s="258" t="s">
        <v>784</v>
      </c>
      <c r="V92" s="258" t="s">
        <v>75</v>
      </c>
      <c r="W92" s="258"/>
    </row>
    <row r="93" spans="9:23" ht="20.100000000000001" customHeight="1">
      <c r="I93" s="4">
        <v>90</v>
      </c>
      <c r="J93" s="258" t="s">
        <v>13</v>
      </c>
      <c r="K93" s="65">
        <v>45762</v>
      </c>
      <c r="L93" s="66" t="s">
        <v>785</v>
      </c>
      <c r="M93" s="67" t="s">
        <v>78</v>
      </c>
      <c r="N93" s="66">
        <v>10</v>
      </c>
      <c r="O93" s="66"/>
      <c r="P93" s="66">
        <v>416666</v>
      </c>
      <c r="Q93" s="66">
        <v>4166666</v>
      </c>
      <c r="R93" s="64"/>
      <c r="S93" s="65" t="s">
        <v>142</v>
      </c>
      <c r="T93" s="258" t="s">
        <v>84</v>
      </c>
      <c r="U93" s="258" t="s">
        <v>786</v>
      </c>
      <c r="V93" s="258" t="s">
        <v>694</v>
      </c>
      <c r="W93" s="258"/>
    </row>
    <row r="94" spans="9:23" ht="20.100000000000001" customHeight="1">
      <c r="I94" s="4">
        <v>91</v>
      </c>
      <c r="J94" s="4" t="s">
        <v>13</v>
      </c>
      <c r="K94" s="61">
        <v>45763</v>
      </c>
      <c r="L94" s="14" t="s">
        <v>659</v>
      </c>
      <c r="M94" s="87" t="s">
        <v>78</v>
      </c>
      <c r="N94" s="14">
        <v>160</v>
      </c>
      <c r="O94" s="14"/>
      <c r="P94" s="14">
        <v>333333</v>
      </c>
      <c r="Q94" s="14">
        <v>50000000</v>
      </c>
      <c r="R94" s="19"/>
      <c r="S94" s="61" t="s">
        <v>142</v>
      </c>
      <c r="T94" s="4" t="s">
        <v>84</v>
      </c>
      <c r="U94" s="4" t="s">
        <v>787</v>
      </c>
      <c r="V94" s="4" t="s">
        <v>712</v>
      </c>
      <c r="W94" s="4"/>
    </row>
    <row r="95" spans="9:23" ht="20.100000000000001" customHeight="1">
      <c r="I95" s="4">
        <v>92</v>
      </c>
      <c r="J95" s="4" t="s">
        <v>13</v>
      </c>
      <c r="K95" s="61">
        <v>45763</v>
      </c>
      <c r="L95" s="14" t="s">
        <v>878</v>
      </c>
      <c r="M95" s="87" t="s">
        <v>102</v>
      </c>
      <c r="N95" s="14">
        <v>0</v>
      </c>
      <c r="O95" s="14"/>
      <c r="P95" s="14">
        <v>0</v>
      </c>
      <c r="Q95" s="14">
        <v>2000000</v>
      </c>
      <c r="R95" s="19"/>
      <c r="S95" s="61" t="s">
        <v>141</v>
      </c>
      <c r="T95" s="4" t="s">
        <v>115</v>
      </c>
      <c r="U95" s="4" t="s">
        <v>154</v>
      </c>
      <c r="V95" s="4" t="s">
        <v>170</v>
      </c>
      <c r="W95" s="258" t="s">
        <v>79</v>
      </c>
    </row>
    <row r="96" spans="9:23" ht="20.100000000000001" customHeight="1">
      <c r="I96" s="4">
        <v>93</v>
      </c>
      <c r="J96" s="4" t="s">
        <v>13</v>
      </c>
      <c r="K96" s="61">
        <v>45770</v>
      </c>
      <c r="L96" s="14" t="s">
        <v>879</v>
      </c>
      <c r="M96" s="87" t="s">
        <v>102</v>
      </c>
      <c r="N96" s="14">
        <v>0</v>
      </c>
      <c r="O96" s="14"/>
      <c r="P96" s="14">
        <v>0</v>
      </c>
      <c r="Q96" s="14">
        <v>2000000</v>
      </c>
      <c r="R96" s="19"/>
      <c r="S96" s="61" t="s">
        <v>141</v>
      </c>
      <c r="T96" s="4" t="s">
        <v>115</v>
      </c>
      <c r="U96" s="4" t="s">
        <v>154</v>
      </c>
      <c r="V96" s="4" t="s">
        <v>170</v>
      </c>
      <c r="W96" s="258" t="s">
        <v>79</v>
      </c>
    </row>
    <row r="97" spans="9:23" ht="20.100000000000001" customHeight="1">
      <c r="I97" s="4">
        <v>94</v>
      </c>
      <c r="J97" s="4" t="s">
        <v>13</v>
      </c>
      <c r="K97" s="61">
        <v>45770</v>
      </c>
      <c r="L97" s="14" t="s">
        <v>880</v>
      </c>
      <c r="M97" s="87" t="s">
        <v>78</v>
      </c>
      <c r="N97" s="14">
        <v>6</v>
      </c>
      <c r="O97" s="14"/>
      <c r="P97" s="14">
        <f>Q97/N97/12</f>
        <v>250000</v>
      </c>
      <c r="Q97" s="14">
        <v>18000000</v>
      </c>
      <c r="R97" s="19"/>
      <c r="S97" s="61" t="s">
        <v>141</v>
      </c>
      <c r="T97" s="4" t="s">
        <v>115</v>
      </c>
      <c r="U97" s="4" t="s">
        <v>757</v>
      </c>
      <c r="V97" s="4" t="s">
        <v>881</v>
      </c>
      <c r="W97" s="4"/>
    </row>
    <row r="98" spans="9:23" ht="20.100000000000001" customHeight="1">
      <c r="I98" s="4">
        <v>95</v>
      </c>
      <c r="J98" s="4" t="s">
        <v>13</v>
      </c>
      <c r="K98" s="61">
        <v>45771</v>
      </c>
      <c r="L98" s="14" t="s">
        <v>621</v>
      </c>
      <c r="M98" s="87" t="s">
        <v>78</v>
      </c>
      <c r="N98" s="14">
        <v>14</v>
      </c>
      <c r="O98" s="14"/>
      <c r="P98" s="14">
        <v>37500</v>
      </c>
      <c r="Q98" s="14">
        <v>525000</v>
      </c>
      <c r="R98" s="19"/>
      <c r="S98" s="61" t="s">
        <v>142</v>
      </c>
      <c r="T98" s="4" t="s">
        <v>84</v>
      </c>
      <c r="U98" s="4" t="s">
        <v>793</v>
      </c>
      <c r="V98" s="4" t="s">
        <v>330</v>
      </c>
      <c r="W98" s="4"/>
    </row>
    <row r="99" spans="9:23" ht="20.100000000000001" customHeight="1" thickBot="1">
      <c r="I99" s="4">
        <v>96</v>
      </c>
      <c r="J99" s="68" t="s">
        <v>13</v>
      </c>
      <c r="K99" s="69">
        <v>45775</v>
      </c>
      <c r="L99" s="72" t="s">
        <v>780</v>
      </c>
      <c r="M99" s="79" t="s">
        <v>78</v>
      </c>
      <c r="N99" s="72">
        <v>1000</v>
      </c>
      <c r="O99" s="72"/>
      <c r="P99" s="72">
        <v>58333</v>
      </c>
      <c r="Q99" s="72">
        <v>58333333</v>
      </c>
      <c r="R99" s="88"/>
      <c r="S99" s="69" t="s">
        <v>142</v>
      </c>
      <c r="T99" s="68" t="s">
        <v>84</v>
      </c>
      <c r="U99" s="68" t="s">
        <v>781</v>
      </c>
      <c r="V99" s="68" t="s">
        <v>712</v>
      </c>
      <c r="W99" s="68"/>
    </row>
    <row r="100" spans="9:23" ht="20.100000000000001" customHeight="1" thickTop="1">
      <c r="I100" s="4">
        <v>97</v>
      </c>
      <c r="J100" s="258" t="s">
        <v>23</v>
      </c>
      <c r="K100" s="65">
        <v>45779</v>
      </c>
      <c r="L100" s="66" t="s">
        <v>891</v>
      </c>
      <c r="M100" s="67" t="s">
        <v>72</v>
      </c>
      <c r="N100" s="66">
        <v>30</v>
      </c>
      <c r="O100" s="66"/>
      <c r="P100" s="66">
        <v>200000</v>
      </c>
      <c r="Q100" s="66">
        <v>20000000</v>
      </c>
      <c r="R100" s="64"/>
      <c r="S100" s="65" t="s">
        <v>141</v>
      </c>
      <c r="T100" s="258" t="s">
        <v>115</v>
      </c>
      <c r="U100" s="258" t="s">
        <v>154</v>
      </c>
      <c r="V100" s="258" t="s">
        <v>170</v>
      </c>
      <c r="W100" s="258" t="s">
        <v>79</v>
      </c>
    </row>
    <row r="101" spans="9:23" ht="20.100000000000001" customHeight="1">
      <c r="I101" s="4">
        <v>98</v>
      </c>
      <c r="J101" s="258" t="s">
        <v>7</v>
      </c>
      <c r="K101" s="65">
        <v>45779</v>
      </c>
      <c r="L101" s="66" t="s">
        <v>884</v>
      </c>
      <c r="M101" s="67" t="s">
        <v>885</v>
      </c>
      <c r="N101" s="66">
        <v>200</v>
      </c>
      <c r="O101" s="66"/>
      <c r="P101" s="66">
        <v>200000</v>
      </c>
      <c r="Q101" s="66">
        <v>40000000</v>
      </c>
      <c r="R101" s="64"/>
      <c r="S101" s="65" t="s">
        <v>87</v>
      </c>
      <c r="T101" s="258" t="s">
        <v>88</v>
      </c>
      <c r="U101" s="258" t="s">
        <v>886</v>
      </c>
      <c r="V101" s="258" t="s">
        <v>887</v>
      </c>
      <c r="W101" s="258"/>
    </row>
    <row r="102" spans="9:23" ht="20.100000000000001" customHeight="1">
      <c r="I102" s="4">
        <v>99</v>
      </c>
      <c r="J102" s="258" t="s">
        <v>23</v>
      </c>
      <c r="K102" s="65">
        <v>45779</v>
      </c>
      <c r="L102" s="66" t="s">
        <v>877</v>
      </c>
      <c r="M102" s="67" t="s">
        <v>78</v>
      </c>
      <c r="N102" s="66">
        <v>54</v>
      </c>
      <c r="O102" s="66"/>
      <c r="P102" s="66">
        <v>300000</v>
      </c>
      <c r="Q102" s="66">
        <v>16800000</v>
      </c>
      <c r="R102" s="64"/>
      <c r="S102" s="65" t="s">
        <v>142</v>
      </c>
      <c r="T102" s="258" t="s">
        <v>84</v>
      </c>
      <c r="U102" s="258" t="s">
        <v>792</v>
      </c>
      <c r="V102" s="258" t="s">
        <v>690</v>
      </c>
      <c r="W102" s="258"/>
    </row>
    <row r="103" spans="9:23" ht="20.100000000000001" customHeight="1">
      <c r="I103" s="4">
        <v>100</v>
      </c>
      <c r="J103" s="258" t="s">
        <v>23</v>
      </c>
      <c r="K103" s="65">
        <v>45784</v>
      </c>
      <c r="L103" s="66" t="s">
        <v>791</v>
      </c>
      <c r="M103" s="67" t="s">
        <v>78</v>
      </c>
      <c r="N103" s="66">
        <v>57</v>
      </c>
      <c r="O103" s="66"/>
      <c r="P103" s="66">
        <v>41666</v>
      </c>
      <c r="Q103" s="66">
        <v>2375000</v>
      </c>
      <c r="R103" s="64"/>
      <c r="S103" s="65" t="s">
        <v>141</v>
      </c>
      <c r="T103" s="258" t="s">
        <v>84</v>
      </c>
      <c r="U103" s="258" t="s">
        <v>792</v>
      </c>
      <c r="V103" s="258" t="s">
        <v>771</v>
      </c>
      <c r="W103" s="258"/>
    </row>
    <row r="104" spans="9:23" ht="20.100000000000001" customHeight="1">
      <c r="I104" s="4">
        <v>101</v>
      </c>
      <c r="J104" s="258" t="s">
        <v>23</v>
      </c>
      <c r="K104" s="65">
        <v>45784</v>
      </c>
      <c r="L104" s="66" t="s">
        <v>952</v>
      </c>
      <c r="M104" s="67" t="s">
        <v>72</v>
      </c>
      <c r="N104" s="66">
        <v>6</v>
      </c>
      <c r="O104" s="66"/>
      <c r="P104" s="66">
        <v>200000</v>
      </c>
      <c r="Q104" s="66">
        <v>1000000</v>
      </c>
      <c r="R104" s="64"/>
      <c r="S104" s="61" t="s">
        <v>142</v>
      </c>
      <c r="T104" s="258" t="s">
        <v>84</v>
      </c>
      <c r="U104" s="258" t="s">
        <v>954</v>
      </c>
      <c r="V104" s="258" t="s">
        <v>953</v>
      </c>
      <c r="W104" s="258"/>
    </row>
    <row r="105" spans="9:23" ht="20.100000000000001" customHeight="1">
      <c r="I105" s="4">
        <v>102</v>
      </c>
      <c r="J105" s="258" t="s">
        <v>23</v>
      </c>
      <c r="K105" s="65">
        <v>45785</v>
      </c>
      <c r="L105" s="66" t="s">
        <v>889</v>
      </c>
      <c r="M105" s="67" t="s">
        <v>72</v>
      </c>
      <c r="N105" s="66">
        <v>60</v>
      </c>
      <c r="O105" s="66"/>
      <c r="P105" s="66">
        <v>300000</v>
      </c>
      <c r="Q105" s="66">
        <v>18000000</v>
      </c>
      <c r="R105" s="64"/>
      <c r="S105" s="65" t="s">
        <v>141</v>
      </c>
      <c r="T105" s="258" t="s">
        <v>84</v>
      </c>
      <c r="U105" s="258" t="s">
        <v>143</v>
      </c>
      <c r="V105" s="258" t="s">
        <v>104</v>
      </c>
      <c r="W105" s="258"/>
    </row>
    <row r="106" spans="9:23" ht="20.100000000000001" customHeight="1">
      <c r="I106" s="4">
        <v>103</v>
      </c>
      <c r="J106" s="4" t="s">
        <v>23</v>
      </c>
      <c r="K106" s="61">
        <v>45789</v>
      </c>
      <c r="L106" s="14" t="s">
        <v>458</v>
      </c>
      <c r="M106" s="87" t="s">
        <v>78</v>
      </c>
      <c r="N106" s="14">
        <v>115</v>
      </c>
      <c r="O106" s="14"/>
      <c r="P106" s="14">
        <v>166666</v>
      </c>
      <c r="Q106" s="14">
        <v>19166666</v>
      </c>
      <c r="R106" s="19"/>
      <c r="S106" s="61" t="s">
        <v>142</v>
      </c>
      <c r="T106" s="4" t="s">
        <v>84</v>
      </c>
      <c r="U106" s="4" t="s">
        <v>143</v>
      </c>
      <c r="V106" s="4" t="s">
        <v>75</v>
      </c>
      <c r="W106" s="4"/>
    </row>
    <row r="107" spans="9:23" ht="20.100000000000001" customHeight="1">
      <c r="I107" s="4">
        <v>104</v>
      </c>
      <c r="J107" s="4" t="s">
        <v>23</v>
      </c>
      <c r="K107" s="61">
        <v>45791</v>
      </c>
      <c r="L107" s="4" t="s">
        <v>594</v>
      </c>
      <c r="M107" s="4" t="s">
        <v>78</v>
      </c>
      <c r="N107" s="4">
        <v>26</v>
      </c>
      <c r="O107" s="4"/>
      <c r="P107" s="4">
        <v>60000</v>
      </c>
      <c r="Q107" s="4">
        <v>1500000</v>
      </c>
      <c r="R107" s="4"/>
      <c r="S107" s="61" t="s">
        <v>142</v>
      </c>
      <c r="T107" s="4" t="s">
        <v>84</v>
      </c>
      <c r="U107" s="4" t="s">
        <v>892</v>
      </c>
      <c r="V107" s="4" t="s">
        <v>893</v>
      </c>
      <c r="W107" s="4"/>
    </row>
    <row r="108" spans="9:23" ht="20.100000000000001" customHeight="1">
      <c r="I108" s="4">
        <v>105</v>
      </c>
      <c r="J108" s="4" t="s">
        <v>23</v>
      </c>
      <c r="K108" s="65">
        <v>45796</v>
      </c>
      <c r="L108" s="258" t="s">
        <v>894</v>
      </c>
      <c r="M108" s="258" t="s">
        <v>72</v>
      </c>
      <c r="N108" s="258">
        <v>4</v>
      </c>
      <c r="O108" s="258"/>
      <c r="P108" s="258">
        <v>200000</v>
      </c>
      <c r="Q108" s="258">
        <v>800000</v>
      </c>
      <c r="R108" s="258"/>
      <c r="S108" s="61" t="s">
        <v>142</v>
      </c>
      <c r="T108" s="4" t="s">
        <v>84</v>
      </c>
      <c r="U108" s="258" t="s">
        <v>896</v>
      </c>
      <c r="V108" s="258" t="s">
        <v>899</v>
      </c>
      <c r="W108" s="258"/>
    </row>
    <row r="109" spans="9:23" ht="20.100000000000001" customHeight="1">
      <c r="I109" s="4">
        <v>106</v>
      </c>
      <c r="J109" s="4" t="s">
        <v>23</v>
      </c>
      <c r="K109" s="65">
        <v>45796</v>
      </c>
      <c r="L109" s="258" t="s">
        <v>900</v>
      </c>
      <c r="M109" s="258" t="s">
        <v>72</v>
      </c>
      <c r="N109" s="258">
        <v>30</v>
      </c>
      <c r="O109" s="258"/>
      <c r="P109" s="258">
        <v>200000</v>
      </c>
      <c r="Q109" s="258">
        <v>6000000</v>
      </c>
      <c r="R109" s="258"/>
      <c r="S109" s="61" t="s">
        <v>142</v>
      </c>
      <c r="T109" s="4" t="s">
        <v>115</v>
      </c>
      <c r="U109" s="258" t="s">
        <v>901</v>
      </c>
      <c r="V109" s="258" t="s">
        <v>79</v>
      </c>
      <c r="W109" s="258" t="s">
        <v>79</v>
      </c>
    </row>
    <row r="110" spans="9:23" ht="20.100000000000001" customHeight="1" thickBot="1">
      <c r="I110" s="4">
        <v>107</v>
      </c>
      <c r="J110" s="257" t="s">
        <v>23</v>
      </c>
      <c r="K110" s="101">
        <v>45796</v>
      </c>
      <c r="L110" s="100" t="s">
        <v>895</v>
      </c>
      <c r="M110" s="68" t="s">
        <v>72</v>
      </c>
      <c r="N110" s="100">
        <v>9</v>
      </c>
      <c r="O110" s="100"/>
      <c r="P110" s="100">
        <v>260000</v>
      </c>
      <c r="Q110" s="100">
        <v>2300000</v>
      </c>
      <c r="R110" s="100"/>
      <c r="S110" s="69" t="s">
        <v>142</v>
      </c>
      <c r="T110" s="68" t="s">
        <v>84</v>
      </c>
      <c r="U110" s="100" t="s">
        <v>898</v>
      </c>
      <c r="V110" s="100" t="s">
        <v>57</v>
      </c>
      <c r="W110" s="100"/>
    </row>
    <row r="111" spans="9:23" ht="20.100000000000001" customHeight="1" thickTop="1">
      <c r="I111" s="4">
        <v>108</v>
      </c>
      <c r="J111" s="4" t="s">
        <v>24</v>
      </c>
      <c r="K111" s="65">
        <v>45809</v>
      </c>
      <c r="L111" s="66" t="s">
        <v>882</v>
      </c>
      <c r="M111" s="67" t="s">
        <v>72</v>
      </c>
      <c r="N111" s="66">
        <v>100</v>
      </c>
      <c r="O111" s="66"/>
      <c r="P111" s="66">
        <f>Q111/N111</f>
        <v>100000</v>
      </c>
      <c r="Q111" s="66">
        <v>10000000</v>
      </c>
      <c r="R111" s="64"/>
      <c r="S111" s="65" t="s">
        <v>142</v>
      </c>
      <c r="T111" s="258" t="s">
        <v>115</v>
      </c>
      <c r="U111" s="258" t="s">
        <v>883</v>
      </c>
      <c r="V111" s="258" t="s">
        <v>170</v>
      </c>
      <c r="W111" s="258" t="s">
        <v>79</v>
      </c>
    </row>
    <row r="112" spans="9:23" ht="20.100000000000001" customHeight="1">
      <c r="I112" s="4">
        <v>109</v>
      </c>
      <c r="J112" s="4" t="s">
        <v>24</v>
      </c>
      <c r="K112" s="65">
        <v>45810</v>
      </c>
      <c r="L112" s="66" t="s">
        <v>926</v>
      </c>
      <c r="M112" s="67" t="s">
        <v>78</v>
      </c>
      <c r="N112" s="66">
        <v>3</v>
      </c>
      <c r="O112" s="66"/>
      <c r="P112" s="66">
        <v>300000</v>
      </c>
      <c r="Q112" s="66">
        <v>1000000</v>
      </c>
      <c r="R112" s="64"/>
      <c r="S112" s="65" t="s">
        <v>142</v>
      </c>
      <c r="T112" s="258" t="s">
        <v>84</v>
      </c>
      <c r="U112" s="258" t="s">
        <v>951</v>
      </c>
      <c r="V112" s="258" t="s">
        <v>927</v>
      </c>
      <c r="W112" s="258"/>
    </row>
    <row r="113" spans="9:23" ht="20.100000000000001" customHeight="1">
      <c r="I113" s="4">
        <v>110</v>
      </c>
      <c r="J113" s="4" t="s">
        <v>24</v>
      </c>
      <c r="K113" s="65" t="s">
        <v>949</v>
      </c>
      <c r="L113" s="66" t="s">
        <v>664</v>
      </c>
      <c r="M113" s="67" t="s">
        <v>72</v>
      </c>
      <c r="N113" s="66">
        <v>300</v>
      </c>
      <c r="O113" s="66"/>
      <c r="P113" s="66">
        <v>300000</v>
      </c>
      <c r="Q113" s="66">
        <v>50000000</v>
      </c>
      <c r="R113" s="64"/>
      <c r="S113" s="65" t="s">
        <v>142</v>
      </c>
      <c r="T113" s="258" t="s">
        <v>84</v>
      </c>
      <c r="U113" s="258" t="s">
        <v>770</v>
      </c>
      <c r="V113" s="258" t="s">
        <v>888</v>
      </c>
      <c r="W113" s="258"/>
    </row>
    <row r="114" spans="9:23" ht="20.100000000000001" customHeight="1">
      <c r="I114" s="4">
        <v>111</v>
      </c>
      <c r="J114" s="4" t="s">
        <v>24</v>
      </c>
      <c r="K114" s="102">
        <v>45810</v>
      </c>
      <c r="L114" s="75" t="s">
        <v>359</v>
      </c>
      <c r="M114" s="76" t="s">
        <v>72</v>
      </c>
      <c r="N114" s="75">
        <v>140</v>
      </c>
      <c r="O114" s="75"/>
      <c r="P114" s="75">
        <v>200000</v>
      </c>
      <c r="Q114" s="75">
        <v>30000000</v>
      </c>
      <c r="R114" s="103"/>
      <c r="S114" s="61" t="s">
        <v>142</v>
      </c>
      <c r="T114" s="4" t="s">
        <v>84</v>
      </c>
      <c r="U114" s="257" t="s">
        <v>950</v>
      </c>
      <c r="V114" s="257" t="s">
        <v>725</v>
      </c>
      <c r="W114" s="257"/>
    </row>
    <row r="115" spans="9:23" ht="20.100000000000001" customHeight="1">
      <c r="I115" s="4">
        <v>112</v>
      </c>
      <c r="J115" s="4" t="s">
        <v>24</v>
      </c>
      <c r="K115" s="61">
        <v>45810</v>
      </c>
      <c r="L115" s="14" t="s">
        <v>1001</v>
      </c>
      <c r="M115" s="87" t="s">
        <v>72</v>
      </c>
      <c r="N115" s="14">
        <v>74</v>
      </c>
      <c r="O115" s="14"/>
      <c r="P115" s="14">
        <v>200000</v>
      </c>
      <c r="Q115" s="14">
        <v>15000000</v>
      </c>
      <c r="R115" s="19"/>
      <c r="S115" s="61" t="s">
        <v>142</v>
      </c>
      <c r="T115" s="4" t="s">
        <v>84</v>
      </c>
      <c r="U115" s="4" t="s">
        <v>1020</v>
      </c>
      <c r="V115" s="4" t="s">
        <v>881</v>
      </c>
      <c r="W115" s="4"/>
    </row>
    <row r="116" spans="9:23" ht="20.100000000000001" customHeight="1">
      <c r="I116" s="4">
        <v>113</v>
      </c>
      <c r="J116" s="4" t="s">
        <v>24</v>
      </c>
      <c r="K116" s="105">
        <v>45817</v>
      </c>
      <c r="L116" s="118" t="s">
        <v>1021</v>
      </c>
      <c r="M116" s="106" t="s">
        <v>78</v>
      </c>
      <c r="N116" s="73">
        <v>50</v>
      </c>
      <c r="O116" s="73">
        <v>200000</v>
      </c>
      <c r="P116" s="73">
        <v>166666</v>
      </c>
      <c r="Q116" s="66">
        <v>8333333</v>
      </c>
      <c r="R116" s="107"/>
      <c r="S116" s="61" t="s">
        <v>142</v>
      </c>
      <c r="T116" s="4" t="s">
        <v>84</v>
      </c>
      <c r="U116" s="4" t="s">
        <v>1022</v>
      </c>
      <c r="V116" s="4" t="s">
        <v>75</v>
      </c>
      <c r="W116" s="256"/>
    </row>
    <row r="117" spans="9:23" ht="20.100000000000001" customHeight="1">
      <c r="I117" s="4">
        <v>114</v>
      </c>
      <c r="J117" s="4" t="s">
        <v>24</v>
      </c>
      <c r="K117" s="105">
        <v>45817</v>
      </c>
      <c r="L117" s="73" t="s">
        <v>798</v>
      </c>
      <c r="M117" s="106" t="s">
        <v>78</v>
      </c>
      <c r="N117" s="73">
        <v>8</v>
      </c>
      <c r="O117" s="73"/>
      <c r="P117" s="73">
        <v>104166</v>
      </c>
      <c r="Q117" s="73">
        <v>833333</v>
      </c>
      <c r="R117" s="107"/>
      <c r="S117" s="61" t="s">
        <v>142</v>
      </c>
      <c r="T117" s="4" t="s">
        <v>84</v>
      </c>
      <c r="U117" s="4" t="s">
        <v>1023</v>
      </c>
      <c r="V117" s="4" t="s">
        <v>75</v>
      </c>
      <c r="W117" s="256"/>
    </row>
    <row r="118" spans="9:23" ht="20.100000000000001" customHeight="1">
      <c r="I118" s="4">
        <v>115</v>
      </c>
      <c r="J118" s="4" t="s">
        <v>24</v>
      </c>
      <c r="K118" s="105">
        <v>45817</v>
      </c>
      <c r="L118" s="73" t="s">
        <v>1024</v>
      </c>
      <c r="M118" s="106" t="s">
        <v>72</v>
      </c>
      <c r="N118" s="73">
        <v>400</v>
      </c>
      <c r="O118" s="73"/>
      <c r="P118" s="73">
        <v>15000</v>
      </c>
      <c r="Q118" s="73">
        <v>6000000</v>
      </c>
      <c r="R118" s="107"/>
      <c r="S118" s="61" t="s">
        <v>142</v>
      </c>
      <c r="T118" s="4" t="s">
        <v>84</v>
      </c>
      <c r="U118" s="256" t="s">
        <v>1025</v>
      </c>
      <c r="V118" s="256" t="s">
        <v>146</v>
      </c>
      <c r="W118" s="256"/>
    </row>
    <row r="119" spans="9:23" ht="20.100000000000001" customHeight="1">
      <c r="I119" s="4">
        <v>116</v>
      </c>
      <c r="J119" s="4" t="s">
        <v>24</v>
      </c>
      <c r="K119" s="61">
        <v>45817</v>
      </c>
      <c r="L119" s="14" t="s">
        <v>897</v>
      </c>
      <c r="M119" s="87" t="s">
        <v>78</v>
      </c>
      <c r="N119" s="14">
        <v>80</v>
      </c>
      <c r="O119" s="14"/>
      <c r="P119" s="14">
        <v>125000</v>
      </c>
      <c r="Q119" s="14">
        <v>10000000</v>
      </c>
      <c r="R119" s="19"/>
      <c r="S119" s="61" t="s">
        <v>142</v>
      </c>
      <c r="T119" s="4" t="s">
        <v>84</v>
      </c>
      <c r="U119" s="4" t="s">
        <v>892</v>
      </c>
      <c r="V119" s="4" t="s">
        <v>739</v>
      </c>
      <c r="W119" s="4"/>
    </row>
    <row r="120" spans="9:23" ht="20.100000000000001" customHeight="1">
      <c r="I120" s="4">
        <v>117</v>
      </c>
      <c r="J120" s="4" t="s">
        <v>24</v>
      </c>
      <c r="K120" s="61">
        <v>45824</v>
      </c>
      <c r="L120" s="119" t="s">
        <v>1028</v>
      </c>
      <c r="M120" s="87" t="s">
        <v>72</v>
      </c>
      <c r="N120" s="14">
        <v>8</v>
      </c>
      <c r="O120" s="14">
        <v>200000</v>
      </c>
      <c r="P120" s="14">
        <v>220000</v>
      </c>
      <c r="Q120" s="14">
        <v>1000000</v>
      </c>
      <c r="R120" s="19"/>
      <c r="S120" s="61" t="s">
        <v>142</v>
      </c>
      <c r="T120" s="4" t="s">
        <v>84</v>
      </c>
      <c r="U120" s="4" t="s">
        <v>1029</v>
      </c>
      <c r="V120" s="4" t="s">
        <v>75</v>
      </c>
      <c r="W120" s="4"/>
    </row>
    <row r="121" spans="9:23" ht="20.100000000000001" customHeight="1" thickBot="1">
      <c r="I121" s="4">
        <v>118</v>
      </c>
      <c r="J121" s="100" t="s">
        <v>24</v>
      </c>
      <c r="K121" s="101">
        <v>45835</v>
      </c>
      <c r="L121" s="120" t="s">
        <v>1108</v>
      </c>
      <c r="M121" s="111" t="s">
        <v>78</v>
      </c>
      <c r="N121" s="112">
        <v>12</v>
      </c>
      <c r="O121" s="112">
        <v>200000</v>
      </c>
      <c r="P121" s="113">
        <v>50000</v>
      </c>
      <c r="Q121" s="110">
        <v>600000</v>
      </c>
      <c r="R121" s="114"/>
      <c r="S121" s="69" t="s">
        <v>142</v>
      </c>
      <c r="T121" s="68" t="s">
        <v>84</v>
      </c>
      <c r="U121" s="100" t="s">
        <v>1109</v>
      </c>
      <c r="V121" s="100" t="s">
        <v>707</v>
      </c>
      <c r="W121" s="100"/>
    </row>
    <row r="122" spans="9:23" ht="20.100000000000001" customHeight="1" thickTop="1">
      <c r="I122" s="4">
        <v>119</v>
      </c>
      <c r="J122" s="258" t="s">
        <v>9</v>
      </c>
      <c r="K122" s="65">
        <v>45839</v>
      </c>
      <c r="L122" s="66" t="s">
        <v>56</v>
      </c>
      <c r="M122" s="67" t="s">
        <v>72</v>
      </c>
      <c r="N122" s="66">
        <v>6000</v>
      </c>
      <c r="O122" s="66"/>
      <c r="P122" s="66">
        <f>Q122/N122</f>
        <v>116666.66666666667</v>
      </c>
      <c r="Q122" s="66">
        <v>700000000</v>
      </c>
      <c r="R122" s="64"/>
      <c r="S122" s="65" t="s">
        <v>141</v>
      </c>
      <c r="T122" s="258" t="s">
        <v>115</v>
      </c>
      <c r="U122" s="258" t="s">
        <v>154</v>
      </c>
      <c r="V122" s="258" t="s">
        <v>79</v>
      </c>
      <c r="W122" s="258" t="s">
        <v>79</v>
      </c>
    </row>
    <row r="123" spans="9:23" ht="20.100000000000001" customHeight="1">
      <c r="I123" s="4">
        <v>120</v>
      </c>
      <c r="J123" s="258" t="s">
        <v>9</v>
      </c>
      <c r="K123" s="65">
        <v>45839</v>
      </c>
      <c r="L123" s="66" t="s">
        <v>66</v>
      </c>
      <c r="M123" s="67" t="s">
        <v>72</v>
      </c>
      <c r="N123" s="66">
        <v>450</v>
      </c>
      <c r="O123" s="66"/>
      <c r="P123" s="66">
        <v>110000</v>
      </c>
      <c r="Q123" s="258">
        <v>50000000</v>
      </c>
      <c r="R123" s="64"/>
      <c r="S123" s="65" t="s">
        <v>141</v>
      </c>
      <c r="T123" s="258" t="s">
        <v>115</v>
      </c>
      <c r="U123" s="258" t="s">
        <v>154</v>
      </c>
      <c r="V123" s="258" t="s">
        <v>79</v>
      </c>
      <c r="W123" s="258" t="s">
        <v>79</v>
      </c>
    </row>
    <row r="124" spans="9:23" ht="20.100000000000001" customHeight="1">
      <c r="I124" s="4">
        <v>121</v>
      </c>
      <c r="J124" s="258" t="s">
        <v>9</v>
      </c>
      <c r="K124" s="65">
        <v>45839</v>
      </c>
      <c r="L124" s="258" t="s">
        <v>902</v>
      </c>
      <c r="M124" s="63" t="s">
        <v>72</v>
      </c>
      <c r="N124" s="258">
        <v>300</v>
      </c>
      <c r="O124" s="258"/>
      <c r="P124" s="258">
        <f>Q124/N124</f>
        <v>100000</v>
      </c>
      <c r="Q124" s="258">
        <v>30000000</v>
      </c>
      <c r="R124" s="64"/>
      <c r="S124" s="65" t="s">
        <v>141</v>
      </c>
      <c r="T124" s="258" t="s">
        <v>115</v>
      </c>
      <c r="U124" s="258" t="s">
        <v>1308</v>
      </c>
      <c r="V124" s="258" t="s">
        <v>79</v>
      </c>
      <c r="W124" s="258" t="s">
        <v>79</v>
      </c>
    </row>
    <row r="125" spans="9:23" ht="20.100000000000001" customHeight="1">
      <c r="I125" s="4">
        <v>122</v>
      </c>
      <c r="J125" s="258" t="s">
        <v>26</v>
      </c>
      <c r="K125" s="65">
        <v>45839</v>
      </c>
      <c r="L125" s="258" t="s">
        <v>1114</v>
      </c>
      <c r="M125" s="63" t="s">
        <v>72</v>
      </c>
      <c r="N125" s="258">
        <v>200</v>
      </c>
      <c r="O125" s="258"/>
      <c r="P125" s="258">
        <f>Q125/N125</f>
        <v>300000</v>
      </c>
      <c r="Q125" s="258">
        <v>60000000</v>
      </c>
      <c r="R125" s="64"/>
      <c r="S125" s="65" t="s">
        <v>141</v>
      </c>
      <c r="T125" s="258" t="s">
        <v>115</v>
      </c>
      <c r="U125" s="258" t="s">
        <v>1307</v>
      </c>
      <c r="V125" s="258" t="s">
        <v>79</v>
      </c>
      <c r="W125" s="258" t="s">
        <v>79</v>
      </c>
    </row>
    <row r="126" spans="9:23" ht="20.100000000000001" customHeight="1">
      <c r="I126" s="4">
        <v>123</v>
      </c>
      <c r="J126" s="258" t="s">
        <v>26</v>
      </c>
      <c r="K126" s="65">
        <v>45839</v>
      </c>
      <c r="L126" s="258" t="s">
        <v>1115</v>
      </c>
      <c r="M126" s="63" t="s">
        <v>72</v>
      </c>
      <c r="N126" s="258">
        <v>5</v>
      </c>
      <c r="O126" s="258"/>
      <c r="P126" s="258">
        <f>Q126/N126</f>
        <v>200000</v>
      </c>
      <c r="Q126" s="258">
        <v>1000000</v>
      </c>
      <c r="R126" s="64"/>
      <c r="S126" s="65" t="s">
        <v>141</v>
      </c>
      <c r="T126" s="258" t="s">
        <v>115</v>
      </c>
      <c r="U126" s="258" t="s">
        <v>1308</v>
      </c>
      <c r="V126" s="258" t="s">
        <v>79</v>
      </c>
      <c r="W126" s="258" t="s">
        <v>79</v>
      </c>
    </row>
    <row r="127" spans="9:23" ht="20.100000000000001" customHeight="1">
      <c r="I127" s="4">
        <v>124</v>
      </c>
      <c r="J127" s="258" t="s">
        <v>26</v>
      </c>
      <c r="K127" s="65">
        <v>45839</v>
      </c>
      <c r="L127" s="258" t="s">
        <v>654</v>
      </c>
      <c r="M127" s="63" t="s">
        <v>78</v>
      </c>
      <c r="N127" s="258">
        <v>70</v>
      </c>
      <c r="O127" s="258"/>
      <c r="P127" s="258">
        <v>83333</v>
      </c>
      <c r="Q127" s="258">
        <v>6000000</v>
      </c>
      <c r="R127" s="64"/>
      <c r="S127" s="65" t="s">
        <v>142</v>
      </c>
      <c r="T127" s="258" t="s">
        <v>84</v>
      </c>
      <c r="U127" s="258" t="s">
        <v>1027</v>
      </c>
      <c r="V127" s="258" t="s">
        <v>159</v>
      </c>
      <c r="W127" s="258"/>
    </row>
    <row r="128" spans="9:23" ht="20.100000000000001" customHeight="1">
      <c r="I128" s="4">
        <v>125</v>
      </c>
      <c r="J128" s="258" t="s">
        <v>26</v>
      </c>
      <c r="K128" s="65">
        <v>45839</v>
      </c>
      <c r="L128" s="121" t="s">
        <v>1092</v>
      </c>
      <c r="M128" s="63" t="s">
        <v>78</v>
      </c>
      <c r="N128" s="258">
        <v>100</v>
      </c>
      <c r="O128" s="258">
        <v>200000</v>
      </c>
      <c r="P128" s="258">
        <v>105000</v>
      </c>
      <c r="Q128" s="258">
        <v>10500000</v>
      </c>
      <c r="R128" s="64"/>
      <c r="S128" s="65" t="s">
        <v>142</v>
      </c>
      <c r="T128" s="258" t="s">
        <v>84</v>
      </c>
      <c r="U128" s="258" t="s">
        <v>1103</v>
      </c>
      <c r="V128" s="258" t="s">
        <v>1104</v>
      </c>
      <c r="W128" s="258"/>
    </row>
    <row r="129" spans="6:23" ht="20.100000000000001" customHeight="1">
      <c r="F129" s="116"/>
      <c r="I129" s="4">
        <v>126</v>
      </c>
      <c r="J129" s="258" t="s">
        <v>26</v>
      </c>
      <c r="K129" s="65">
        <v>45839</v>
      </c>
      <c r="L129" s="121" t="s">
        <v>1110</v>
      </c>
      <c r="M129" s="63" t="s">
        <v>72</v>
      </c>
      <c r="N129" s="258">
        <v>9</v>
      </c>
      <c r="O129" s="258">
        <v>200000</v>
      </c>
      <c r="P129" s="258">
        <v>240000</v>
      </c>
      <c r="Q129" s="258">
        <v>2160000</v>
      </c>
      <c r="R129" s="64"/>
      <c r="S129" s="65" t="s">
        <v>142</v>
      </c>
      <c r="T129" s="258" t="s">
        <v>84</v>
      </c>
      <c r="U129" s="258" t="s">
        <v>770</v>
      </c>
      <c r="V129" s="258" t="s">
        <v>899</v>
      </c>
      <c r="W129" s="258"/>
    </row>
    <row r="130" spans="6:23" ht="20.100000000000001" customHeight="1">
      <c r="I130" s="4">
        <v>127</v>
      </c>
      <c r="J130" s="258" t="s">
        <v>26</v>
      </c>
      <c r="K130" s="65">
        <v>45839</v>
      </c>
      <c r="L130" s="258" t="s">
        <v>1026</v>
      </c>
      <c r="M130" s="63" t="s">
        <v>72</v>
      </c>
      <c r="N130" s="258">
        <v>20</v>
      </c>
      <c r="O130" s="258"/>
      <c r="P130" s="258">
        <v>100000</v>
      </c>
      <c r="Q130" s="258">
        <v>2000000</v>
      </c>
      <c r="R130" s="64"/>
      <c r="S130" s="61" t="s">
        <v>142</v>
      </c>
      <c r="T130" s="4" t="s">
        <v>84</v>
      </c>
      <c r="U130" s="258" t="s">
        <v>782</v>
      </c>
      <c r="V130" s="258" t="s">
        <v>144</v>
      </c>
      <c r="W130" s="258"/>
    </row>
    <row r="131" spans="6:23" ht="20.100000000000001" customHeight="1">
      <c r="I131" s="4">
        <v>128</v>
      </c>
      <c r="J131" s="258" t="s">
        <v>26</v>
      </c>
      <c r="K131" s="65">
        <v>45845</v>
      </c>
      <c r="L131" s="258" t="s">
        <v>1111</v>
      </c>
      <c r="M131" s="63" t="s">
        <v>78</v>
      </c>
      <c r="N131" s="258">
        <v>87</v>
      </c>
      <c r="O131" s="258"/>
      <c r="P131" s="258">
        <v>50000</v>
      </c>
      <c r="Q131" s="258">
        <v>4350000</v>
      </c>
      <c r="R131" s="64"/>
      <c r="S131" s="65" t="s">
        <v>142</v>
      </c>
      <c r="T131" s="258" t="s">
        <v>84</v>
      </c>
      <c r="U131" s="258" t="s">
        <v>1112</v>
      </c>
      <c r="V131" s="258" t="s">
        <v>1113</v>
      </c>
      <c r="W131" s="258"/>
    </row>
    <row r="132" spans="6:23" ht="20.100000000000001" customHeight="1">
      <c r="F132" s="116"/>
      <c r="I132" s="4">
        <v>129</v>
      </c>
      <c r="J132" s="258" t="s">
        <v>26</v>
      </c>
      <c r="K132" s="65">
        <v>45845</v>
      </c>
      <c r="L132" s="258" t="s">
        <v>1122</v>
      </c>
      <c r="M132" s="63" t="s">
        <v>72</v>
      </c>
      <c r="N132" s="258">
        <v>45</v>
      </c>
      <c r="O132" s="258"/>
      <c r="P132" s="258">
        <v>30000</v>
      </c>
      <c r="Q132" s="258">
        <v>1500000</v>
      </c>
      <c r="R132" s="64"/>
      <c r="S132" s="65" t="s">
        <v>141</v>
      </c>
      <c r="T132" s="258" t="s">
        <v>115</v>
      </c>
      <c r="U132" s="258" t="s">
        <v>1123</v>
      </c>
      <c r="V132" s="258" t="s">
        <v>1124</v>
      </c>
      <c r="W132" s="258" t="s">
        <v>79</v>
      </c>
    </row>
    <row r="133" spans="6:23" ht="20.100000000000001" customHeight="1">
      <c r="I133" s="4">
        <v>130</v>
      </c>
      <c r="J133" s="258" t="s">
        <v>26</v>
      </c>
      <c r="K133" s="65">
        <v>45848</v>
      </c>
      <c r="L133" s="258" t="s">
        <v>1105</v>
      </c>
      <c r="M133" s="63" t="s">
        <v>78</v>
      </c>
      <c r="N133" s="258">
        <v>34</v>
      </c>
      <c r="O133" s="258"/>
      <c r="P133" s="258">
        <v>200000</v>
      </c>
      <c r="Q133" s="258">
        <v>6800000</v>
      </c>
      <c r="R133" s="64"/>
      <c r="S133" s="65" t="s">
        <v>142</v>
      </c>
      <c r="T133" s="258" t="s">
        <v>84</v>
      </c>
      <c r="U133" s="258" t="s">
        <v>1106</v>
      </c>
      <c r="V133" s="258" t="s">
        <v>330</v>
      </c>
      <c r="W133" s="258"/>
    </row>
    <row r="134" spans="6:23" ht="20.100000000000001" customHeight="1">
      <c r="I134" s="4">
        <v>131</v>
      </c>
      <c r="J134" s="258" t="s">
        <v>26</v>
      </c>
      <c r="K134" s="65">
        <v>45848</v>
      </c>
      <c r="L134" s="258" t="s">
        <v>437</v>
      </c>
      <c r="M134" s="63" t="s">
        <v>78</v>
      </c>
      <c r="N134" s="258">
        <v>80</v>
      </c>
      <c r="O134" s="258"/>
      <c r="P134" s="258">
        <v>82500</v>
      </c>
      <c r="Q134" s="258">
        <v>6600000</v>
      </c>
      <c r="R134" s="64"/>
      <c r="S134" s="65" t="s">
        <v>142</v>
      </c>
      <c r="T134" s="258" t="s">
        <v>84</v>
      </c>
      <c r="U134" s="258" t="s">
        <v>776</v>
      </c>
      <c r="V134" s="258" t="s">
        <v>1113</v>
      </c>
      <c r="W134" s="258"/>
    </row>
    <row r="135" spans="6:23" ht="20.100000000000001" customHeight="1">
      <c r="I135" s="4">
        <v>132</v>
      </c>
      <c r="J135" s="258" t="s">
        <v>26</v>
      </c>
      <c r="K135" s="65">
        <v>45848</v>
      </c>
      <c r="L135" s="121" t="s">
        <v>1119</v>
      </c>
      <c r="M135" s="63" t="s">
        <v>78</v>
      </c>
      <c r="N135" s="258">
        <v>26</v>
      </c>
      <c r="O135" s="258">
        <v>200000</v>
      </c>
      <c r="P135" s="258">
        <v>200000</v>
      </c>
      <c r="Q135" s="258">
        <v>5000000</v>
      </c>
      <c r="R135" s="64"/>
      <c r="S135" s="65" t="s">
        <v>142</v>
      </c>
      <c r="T135" s="258" t="s">
        <v>84</v>
      </c>
      <c r="U135" s="258" t="s">
        <v>1120</v>
      </c>
      <c r="V135" s="258" t="s">
        <v>707</v>
      </c>
      <c r="W135" s="258"/>
    </row>
    <row r="136" spans="6:23" ht="20.100000000000001" customHeight="1">
      <c r="I136" s="4">
        <v>133</v>
      </c>
      <c r="J136" s="258" t="s">
        <v>26</v>
      </c>
      <c r="K136" s="65">
        <v>45852</v>
      </c>
      <c r="L136" s="121" t="s">
        <v>1053</v>
      </c>
      <c r="M136" s="63" t="s">
        <v>78</v>
      </c>
      <c r="N136" s="258">
        <v>54</v>
      </c>
      <c r="O136" s="258">
        <v>200000</v>
      </c>
      <c r="P136" s="258">
        <v>200000</v>
      </c>
      <c r="Q136" s="258">
        <v>10800000</v>
      </c>
      <c r="R136" s="64"/>
      <c r="S136" s="65" t="s">
        <v>142</v>
      </c>
      <c r="T136" s="258" t="s">
        <v>84</v>
      </c>
      <c r="U136" s="258" t="s">
        <v>1107</v>
      </c>
      <c r="V136" s="258" t="s">
        <v>75</v>
      </c>
      <c r="W136" s="258"/>
    </row>
    <row r="137" spans="6:23" ht="20.100000000000001" customHeight="1">
      <c r="I137" s="4">
        <v>134</v>
      </c>
      <c r="J137" s="258" t="s">
        <v>26</v>
      </c>
      <c r="K137" s="65">
        <v>45852</v>
      </c>
      <c r="L137" s="121" t="s">
        <v>1116</v>
      </c>
      <c r="M137" s="63" t="s">
        <v>78</v>
      </c>
      <c r="N137" s="258">
        <v>6</v>
      </c>
      <c r="O137" s="258">
        <v>200000</v>
      </c>
      <c r="P137" s="258">
        <v>160000</v>
      </c>
      <c r="Q137" s="258">
        <v>1000000</v>
      </c>
      <c r="R137" s="64"/>
      <c r="S137" s="65" t="s">
        <v>142</v>
      </c>
      <c r="T137" s="258" t="s">
        <v>84</v>
      </c>
      <c r="U137" s="258" t="s">
        <v>1117</v>
      </c>
      <c r="V137" s="258" t="s">
        <v>1118</v>
      </c>
      <c r="W137" s="258"/>
    </row>
    <row r="138" spans="6:23" ht="20.100000000000001" customHeight="1">
      <c r="I138" s="4">
        <v>135</v>
      </c>
      <c r="J138" s="258" t="s">
        <v>26</v>
      </c>
      <c r="K138" s="65">
        <v>45852</v>
      </c>
      <c r="L138" s="121" t="s">
        <v>1121</v>
      </c>
      <c r="M138" s="63" t="s">
        <v>78</v>
      </c>
      <c r="N138" s="258">
        <v>15</v>
      </c>
      <c r="O138" s="258">
        <v>200000</v>
      </c>
      <c r="P138" s="258">
        <v>277000</v>
      </c>
      <c r="Q138" s="258">
        <v>4166666</v>
      </c>
      <c r="R138" s="64"/>
      <c r="S138" s="65" t="s">
        <v>142</v>
      </c>
      <c r="T138" s="258" t="s">
        <v>84</v>
      </c>
      <c r="U138" s="258" t="s">
        <v>59</v>
      </c>
      <c r="V138" s="258" t="s">
        <v>57</v>
      </c>
      <c r="W138" s="258"/>
    </row>
    <row r="139" spans="6:23" ht="20.100000000000001" customHeight="1">
      <c r="I139" s="4">
        <v>136</v>
      </c>
      <c r="J139" s="258" t="s">
        <v>26</v>
      </c>
      <c r="K139" s="65">
        <v>45855</v>
      </c>
      <c r="L139" s="121" t="s">
        <v>1238</v>
      </c>
      <c r="M139" s="63" t="s">
        <v>72</v>
      </c>
      <c r="N139" s="258">
        <v>6</v>
      </c>
      <c r="O139" s="258">
        <v>200000</v>
      </c>
      <c r="P139" s="258">
        <v>200000</v>
      </c>
      <c r="Q139" s="258">
        <v>1200000</v>
      </c>
      <c r="R139" s="64"/>
      <c r="S139" s="65" t="s">
        <v>142</v>
      </c>
      <c r="T139" s="258" t="s">
        <v>84</v>
      </c>
      <c r="U139" s="258" t="s">
        <v>143</v>
      </c>
      <c r="V139" s="258" t="s">
        <v>707</v>
      </c>
      <c r="W139" s="258"/>
    </row>
    <row r="140" spans="6:23" ht="20.100000000000001" customHeight="1">
      <c r="I140" s="4">
        <v>137</v>
      </c>
      <c r="J140" s="258" t="s">
        <v>26</v>
      </c>
      <c r="K140" s="65">
        <v>45856</v>
      </c>
      <c r="L140" s="121" t="s">
        <v>1174</v>
      </c>
      <c r="M140" s="63" t="s">
        <v>78</v>
      </c>
      <c r="N140" s="258">
        <v>50</v>
      </c>
      <c r="O140" s="258">
        <v>200000</v>
      </c>
      <c r="P140" s="258">
        <v>50000</v>
      </c>
      <c r="Q140" s="258">
        <v>3000000</v>
      </c>
      <c r="R140" s="64"/>
      <c r="S140" s="65" t="s">
        <v>142</v>
      </c>
      <c r="T140" s="258" t="s">
        <v>84</v>
      </c>
      <c r="U140" s="258" t="s">
        <v>1278</v>
      </c>
      <c r="V140" s="258" t="s">
        <v>683</v>
      </c>
      <c r="W140" s="258"/>
    </row>
    <row r="141" spans="6:23" ht="20.100000000000001" customHeight="1">
      <c r="I141" s="4">
        <v>138</v>
      </c>
      <c r="J141" s="258" t="s">
        <v>26</v>
      </c>
      <c r="K141" s="65">
        <v>45856</v>
      </c>
      <c r="L141" s="258" t="s">
        <v>1279</v>
      </c>
      <c r="M141" s="63" t="s">
        <v>72</v>
      </c>
      <c r="N141" s="258">
        <v>25</v>
      </c>
      <c r="O141" s="258"/>
      <c r="P141" s="258">
        <v>200000</v>
      </c>
      <c r="Q141" s="258">
        <v>5000000</v>
      </c>
      <c r="R141" s="64"/>
      <c r="S141" s="65" t="s">
        <v>141</v>
      </c>
      <c r="T141" s="258" t="s">
        <v>115</v>
      </c>
      <c r="U141" s="258" t="s">
        <v>1027</v>
      </c>
      <c r="V141" s="258" t="s">
        <v>683</v>
      </c>
      <c r="W141" s="258"/>
    </row>
    <row r="142" spans="6:23" ht="20.100000000000001" customHeight="1">
      <c r="I142" s="4">
        <v>139</v>
      </c>
      <c r="J142" s="258" t="s">
        <v>26</v>
      </c>
      <c r="K142" s="65">
        <v>45861</v>
      </c>
      <c r="L142" s="258" t="s">
        <v>1306</v>
      </c>
      <c r="M142" s="63" t="s">
        <v>72</v>
      </c>
      <c r="N142" s="258">
        <v>80</v>
      </c>
      <c r="O142" s="258"/>
      <c r="P142" s="258">
        <f>Q142/N142</f>
        <v>187500</v>
      </c>
      <c r="Q142" s="258">
        <v>15000000</v>
      </c>
      <c r="R142" s="64"/>
      <c r="S142" s="65" t="s">
        <v>141</v>
      </c>
      <c r="T142" s="258" t="s">
        <v>115</v>
      </c>
      <c r="U142" s="258" t="s">
        <v>154</v>
      </c>
      <c r="V142" s="258" t="s">
        <v>57</v>
      </c>
      <c r="W142" s="258" t="s">
        <v>79</v>
      </c>
    </row>
    <row r="143" spans="6:23" ht="20.100000000000001" customHeight="1">
      <c r="I143" s="4">
        <v>140</v>
      </c>
      <c r="J143" s="258" t="s">
        <v>26</v>
      </c>
      <c r="K143" s="65">
        <v>45863</v>
      </c>
      <c r="L143" s="121" t="s">
        <v>1272</v>
      </c>
      <c r="M143" s="63" t="s">
        <v>78</v>
      </c>
      <c r="N143" s="258">
        <v>27</v>
      </c>
      <c r="O143" s="258">
        <v>200000</v>
      </c>
      <c r="P143" s="258">
        <v>100000</v>
      </c>
      <c r="Q143" s="258">
        <v>2700000</v>
      </c>
      <c r="R143" s="64"/>
      <c r="S143" s="65" t="s">
        <v>141</v>
      </c>
      <c r="T143" s="258" t="s">
        <v>84</v>
      </c>
      <c r="U143" s="258" t="s">
        <v>1273</v>
      </c>
      <c r="V143" s="258" t="s">
        <v>1274</v>
      </c>
      <c r="W143" s="258"/>
    </row>
    <row r="144" spans="6:23" ht="20.100000000000001" customHeight="1">
      <c r="I144" s="4">
        <v>141</v>
      </c>
      <c r="J144" s="258" t="s">
        <v>26</v>
      </c>
      <c r="K144" s="65">
        <v>45863</v>
      </c>
      <c r="L144" s="121" t="s">
        <v>1275</v>
      </c>
      <c r="M144" s="63" t="s">
        <v>78</v>
      </c>
      <c r="N144" s="258">
        <v>4</v>
      </c>
      <c r="O144" s="258">
        <v>200000</v>
      </c>
      <c r="P144" s="258">
        <v>100000</v>
      </c>
      <c r="Q144" s="258">
        <v>400000</v>
      </c>
      <c r="R144" s="64"/>
      <c r="S144" s="65" t="s">
        <v>141</v>
      </c>
      <c r="T144" s="258" t="s">
        <v>84</v>
      </c>
      <c r="U144" s="258" t="s">
        <v>1276</v>
      </c>
      <c r="V144" s="258" t="s">
        <v>1274</v>
      </c>
      <c r="W144" s="258"/>
    </row>
    <row r="145" spans="8:24" ht="20.100000000000001" customHeight="1">
      <c r="I145" s="4">
        <v>142</v>
      </c>
      <c r="J145" s="258" t="s">
        <v>26</v>
      </c>
      <c r="K145" s="65">
        <v>45866</v>
      </c>
      <c r="L145" s="117" t="s">
        <v>1277</v>
      </c>
      <c r="M145" s="67" t="s">
        <v>78</v>
      </c>
      <c r="N145" s="66">
        <v>10</v>
      </c>
      <c r="O145" s="66">
        <v>200000</v>
      </c>
      <c r="P145" s="66">
        <v>30000</v>
      </c>
      <c r="Q145" s="66">
        <v>300000</v>
      </c>
      <c r="R145" s="64"/>
      <c r="S145" s="61" t="s">
        <v>142</v>
      </c>
      <c r="T145" s="4" t="s">
        <v>84</v>
      </c>
      <c r="U145" s="258" t="s">
        <v>1022</v>
      </c>
      <c r="V145" s="258" t="s">
        <v>75</v>
      </c>
      <c r="W145" s="258"/>
    </row>
    <row r="146" spans="8:24" ht="20.100000000000001" customHeight="1">
      <c r="I146" s="4">
        <v>143</v>
      </c>
      <c r="J146" s="258" t="s">
        <v>26</v>
      </c>
      <c r="K146" s="65">
        <v>45866</v>
      </c>
      <c r="L146" s="66" t="s">
        <v>568</v>
      </c>
      <c r="M146" s="67" t="s">
        <v>72</v>
      </c>
      <c r="N146" s="108" t="s">
        <v>81</v>
      </c>
      <c r="O146" s="108"/>
      <c r="P146" s="109" t="s">
        <v>81</v>
      </c>
      <c r="Q146" s="66">
        <v>2000000</v>
      </c>
      <c r="R146" s="64"/>
      <c r="S146" s="61" t="s">
        <v>142</v>
      </c>
      <c r="T146" s="4" t="s">
        <v>84</v>
      </c>
      <c r="U146" s="258" t="s">
        <v>685</v>
      </c>
      <c r="V146" s="258" t="s">
        <v>893</v>
      </c>
      <c r="W146" s="258"/>
    </row>
    <row r="147" spans="8:24" ht="20.100000000000001" customHeight="1">
      <c r="I147" s="4">
        <v>144</v>
      </c>
      <c r="J147" s="258" t="s">
        <v>26</v>
      </c>
      <c r="K147" s="65">
        <v>45869</v>
      </c>
      <c r="L147" s="66" t="s">
        <v>1282</v>
      </c>
      <c r="M147" s="67" t="s">
        <v>78</v>
      </c>
      <c r="N147" s="66">
        <v>40</v>
      </c>
      <c r="O147" s="66"/>
      <c r="P147" s="66">
        <v>41666</v>
      </c>
      <c r="Q147" s="66">
        <v>2500000</v>
      </c>
      <c r="R147" s="64"/>
      <c r="S147" s="65" t="s">
        <v>141</v>
      </c>
      <c r="T147" s="258" t="s">
        <v>84</v>
      </c>
      <c r="U147" s="258" t="s">
        <v>792</v>
      </c>
      <c r="V147" s="258" t="s">
        <v>1274</v>
      </c>
      <c r="W147" s="258"/>
    </row>
    <row r="148" spans="8:24" ht="20.100000000000001" customHeight="1" thickBot="1">
      <c r="I148" s="4">
        <v>145</v>
      </c>
      <c r="J148" s="68" t="s">
        <v>26</v>
      </c>
      <c r="K148" s="69">
        <v>45869</v>
      </c>
      <c r="L148" s="72" t="s">
        <v>184</v>
      </c>
      <c r="M148" s="79" t="s">
        <v>78</v>
      </c>
      <c r="N148" s="72">
        <v>100</v>
      </c>
      <c r="O148" s="72"/>
      <c r="P148" s="72">
        <v>33333</v>
      </c>
      <c r="Q148" s="72">
        <v>3333333</v>
      </c>
      <c r="R148" s="88"/>
      <c r="S148" s="69" t="s">
        <v>142</v>
      </c>
      <c r="T148" s="68" t="s">
        <v>84</v>
      </c>
      <c r="U148" s="68" t="s">
        <v>788</v>
      </c>
      <c r="V148" s="68" t="s">
        <v>144</v>
      </c>
      <c r="W148" s="68"/>
    </row>
    <row r="149" spans="8:24" ht="20.100000000000001" customHeight="1" thickTop="1">
      <c r="H149" s="6"/>
      <c r="I149" s="4">
        <v>146</v>
      </c>
      <c r="J149" s="64" t="s">
        <v>27</v>
      </c>
      <c r="K149" s="65">
        <v>45870</v>
      </c>
      <c r="L149" s="71" t="s">
        <v>1310</v>
      </c>
      <c r="M149" s="71" t="s">
        <v>72</v>
      </c>
      <c r="N149" s="71">
        <v>1000</v>
      </c>
      <c r="O149" s="71"/>
      <c r="P149" s="71">
        <f>Q149/N149</f>
        <v>200000</v>
      </c>
      <c r="Q149" s="71">
        <v>200000000</v>
      </c>
      <c r="R149" s="71"/>
      <c r="S149" s="62" t="s">
        <v>141</v>
      </c>
      <c r="T149" s="71" t="s">
        <v>115</v>
      </c>
      <c r="U149" s="71" t="s">
        <v>1313</v>
      </c>
      <c r="V149" s="71" t="s">
        <v>79</v>
      </c>
      <c r="W149" s="71" t="s">
        <v>79</v>
      </c>
      <c r="X149" s="41"/>
    </row>
    <row r="150" spans="8:24" ht="20.100000000000001" customHeight="1">
      <c r="H150" s="6"/>
      <c r="I150" s="4">
        <v>147</v>
      </c>
      <c r="J150" s="19" t="s">
        <v>27</v>
      </c>
      <c r="K150" s="65">
        <v>45870</v>
      </c>
      <c r="L150" s="13" t="s">
        <v>1314</v>
      </c>
      <c r="M150" s="13" t="s">
        <v>72</v>
      </c>
      <c r="N150" s="13">
        <v>250</v>
      </c>
      <c r="O150" s="13"/>
      <c r="P150" s="13">
        <f>Q150/N150</f>
        <v>200000</v>
      </c>
      <c r="Q150" s="13">
        <v>50000000</v>
      </c>
      <c r="R150" s="13"/>
      <c r="S150" s="62" t="s">
        <v>141</v>
      </c>
      <c r="T150" s="66" t="s">
        <v>115</v>
      </c>
      <c r="U150" s="66" t="s">
        <v>1307</v>
      </c>
      <c r="V150" s="13" t="s">
        <v>79</v>
      </c>
      <c r="W150" s="13" t="s">
        <v>79</v>
      </c>
      <c r="X150" s="41"/>
    </row>
    <row r="151" spans="8:24" ht="20.100000000000001" customHeight="1">
      <c r="H151" s="6"/>
      <c r="I151" s="4">
        <v>148</v>
      </c>
      <c r="J151" s="19" t="s">
        <v>27</v>
      </c>
      <c r="K151" s="65">
        <v>45880</v>
      </c>
      <c r="L151" s="13" t="s">
        <v>1410</v>
      </c>
      <c r="M151" s="13" t="s">
        <v>72</v>
      </c>
      <c r="N151" s="123">
        <v>25</v>
      </c>
      <c r="O151" s="13"/>
      <c r="P151" s="13">
        <f>Q151/N151</f>
        <v>400000</v>
      </c>
      <c r="Q151" s="13">
        <v>10000000</v>
      </c>
      <c r="R151" s="13"/>
      <c r="S151" s="62" t="s">
        <v>141</v>
      </c>
      <c r="T151" s="66" t="s">
        <v>115</v>
      </c>
      <c r="U151" s="13" t="s">
        <v>1027</v>
      </c>
      <c r="V151" s="13" t="s">
        <v>694</v>
      </c>
      <c r="W151" s="13"/>
      <c r="X151" s="41"/>
    </row>
    <row r="152" spans="8:24" ht="20.100000000000001" customHeight="1">
      <c r="H152" s="6"/>
      <c r="I152" s="4">
        <v>149</v>
      </c>
      <c r="J152" s="19" t="s">
        <v>27</v>
      </c>
      <c r="K152" s="122">
        <v>45875</v>
      </c>
      <c r="L152" s="119" t="s">
        <v>1252</v>
      </c>
      <c r="M152" s="13" t="s">
        <v>78</v>
      </c>
      <c r="N152" s="13">
        <v>7</v>
      </c>
      <c r="O152" s="13">
        <v>200000</v>
      </c>
      <c r="P152" s="13">
        <v>50000</v>
      </c>
      <c r="Q152" s="13">
        <v>4200000</v>
      </c>
      <c r="R152" s="13"/>
      <c r="S152" s="13" t="s">
        <v>142</v>
      </c>
      <c r="T152" s="13" t="s">
        <v>84</v>
      </c>
      <c r="U152" s="13" t="s">
        <v>1315</v>
      </c>
      <c r="V152" s="13" t="s">
        <v>152</v>
      </c>
      <c r="W152" s="13"/>
      <c r="X152" s="41"/>
    </row>
    <row r="153" spans="8:24" ht="20.100000000000001" customHeight="1" thickBot="1">
      <c r="H153" s="6"/>
      <c r="I153" s="4">
        <v>150</v>
      </c>
      <c r="J153" s="88" t="s">
        <v>27</v>
      </c>
      <c r="K153" s="125">
        <v>45885</v>
      </c>
      <c r="L153" s="88" t="s">
        <v>1406</v>
      </c>
      <c r="M153" s="88" t="s">
        <v>78</v>
      </c>
      <c r="N153" s="88">
        <v>5</v>
      </c>
      <c r="O153" s="88"/>
      <c r="P153" s="88">
        <v>25000</v>
      </c>
      <c r="Q153" s="88">
        <v>125000</v>
      </c>
      <c r="R153" s="13"/>
      <c r="S153" s="88" t="s">
        <v>142</v>
      </c>
      <c r="T153" s="88" t="s">
        <v>84</v>
      </c>
      <c r="U153" s="88" t="s">
        <v>1407</v>
      </c>
      <c r="V153" s="88" t="s">
        <v>712</v>
      </c>
      <c r="W153" s="88"/>
      <c r="X153" s="41"/>
    </row>
    <row r="154" spans="8:24" ht="20.100000000000001" customHeight="1" thickTop="1">
      <c r="H154" s="6"/>
      <c r="I154" s="4">
        <v>151</v>
      </c>
      <c r="J154" s="127" t="s">
        <v>14</v>
      </c>
      <c r="K154" s="128">
        <v>45901</v>
      </c>
      <c r="L154" s="130" t="s">
        <v>74</v>
      </c>
      <c r="M154" s="127" t="s">
        <v>72</v>
      </c>
      <c r="N154" s="127">
        <v>3000</v>
      </c>
      <c r="O154" s="127"/>
      <c r="P154" s="127">
        <f>Q154/N154</f>
        <v>83333.333333333328</v>
      </c>
      <c r="Q154" s="127">
        <v>250000000</v>
      </c>
      <c r="R154" s="127"/>
      <c r="S154" s="127" t="s">
        <v>141</v>
      </c>
      <c r="T154" s="127" t="s">
        <v>115</v>
      </c>
      <c r="U154" s="257" t="s">
        <v>154</v>
      </c>
      <c r="V154" s="107" t="s">
        <v>79</v>
      </c>
      <c r="W154" s="107" t="s">
        <v>79</v>
      </c>
      <c r="X154" s="41"/>
    </row>
    <row r="155" spans="8:24" ht="20.100000000000001" customHeight="1">
      <c r="H155" s="6"/>
      <c r="I155" s="4">
        <v>152</v>
      </c>
      <c r="J155" s="19" t="s">
        <v>14</v>
      </c>
      <c r="K155" s="122">
        <v>45901</v>
      </c>
      <c r="L155" s="13" t="s">
        <v>1548</v>
      </c>
      <c r="M155" s="19" t="s">
        <v>72</v>
      </c>
      <c r="N155" s="19">
        <v>500</v>
      </c>
      <c r="O155" s="19"/>
      <c r="P155" s="19">
        <f>Q155/N155</f>
        <v>70000</v>
      </c>
      <c r="Q155" s="19">
        <v>35000000</v>
      </c>
      <c r="R155" s="19"/>
      <c r="S155" s="19" t="s">
        <v>141</v>
      </c>
      <c r="T155" s="19" t="s">
        <v>115</v>
      </c>
      <c r="U155" s="4" t="s">
        <v>1549</v>
      </c>
      <c r="V155" s="19" t="s">
        <v>756</v>
      </c>
      <c r="W155" s="19"/>
      <c r="X155" s="41"/>
    </row>
    <row r="156" spans="8:24" ht="20.100000000000001" customHeight="1">
      <c r="H156" s="6"/>
      <c r="I156" s="4">
        <v>153</v>
      </c>
      <c r="J156" s="19" t="s">
        <v>14</v>
      </c>
      <c r="K156" s="122">
        <v>45904</v>
      </c>
      <c r="L156" s="119" t="s">
        <v>1258</v>
      </c>
      <c r="M156" s="19" t="s">
        <v>78</v>
      </c>
      <c r="N156" s="19">
        <v>7</v>
      </c>
      <c r="O156" s="19">
        <v>200000</v>
      </c>
      <c r="P156" s="19">
        <v>30000</v>
      </c>
      <c r="Q156" s="19">
        <v>200000</v>
      </c>
      <c r="R156" s="19"/>
      <c r="S156" s="19" t="s">
        <v>142</v>
      </c>
      <c r="T156" s="19" t="s">
        <v>84</v>
      </c>
      <c r="U156" s="4" t="s">
        <v>1029</v>
      </c>
      <c r="V156" s="19" t="s">
        <v>75</v>
      </c>
      <c r="W156" s="19"/>
      <c r="X156" s="41"/>
    </row>
    <row r="157" spans="8:24" ht="20.100000000000001" customHeight="1">
      <c r="H157" s="6"/>
      <c r="I157" s="4">
        <v>154</v>
      </c>
      <c r="J157" s="19" t="s">
        <v>14</v>
      </c>
      <c r="K157" s="122">
        <v>45908</v>
      </c>
      <c r="L157" s="13" t="s">
        <v>1384</v>
      </c>
      <c r="M157" s="19" t="s">
        <v>72</v>
      </c>
      <c r="N157" s="19">
        <v>400</v>
      </c>
      <c r="O157" s="19"/>
      <c r="P157" s="19">
        <v>140000</v>
      </c>
      <c r="Q157" s="19">
        <v>56000000</v>
      </c>
      <c r="R157" s="19"/>
      <c r="S157" s="19" t="s">
        <v>142</v>
      </c>
      <c r="T157" s="19" t="s">
        <v>84</v>
      </c>
      <c r="U157" s="4" t="s">
        <v>1550</v>
      </c>
      <c r="V157" s="19" t="s">
        <v>718</v>
      </c>
      <c r="W157" s="19"/>
      <c r="X157" s="41"/>
    </row>
    <row r="158" spans="8:24" ht="20.100000000000001" customHeight="1">
      <c r="H158" s="6"/>
      <c r="I158" s="4">
        <v>155</v>
      </c>
      <c r="J158" s="19" t="s">
        <v>14</v>
      </c>
      <c r="K158" s="122">
        <v>45908</v>
      </c>
      <c r="L158" s="119" t="s">
        <v>1551</v>
      </c>
      <c r="M158" s="19" t="s">
        <v>72</v>
      </c>
      <c r="N158" s="19">
        <v>50</v>
      </c>
      <c r="O158" s="19">
        <v>200000</v>
      </c>
      <c r="P158" s="19"/>
      <c r="Q158" s="19">
        <v>10000000</v>
      </c>
      <c r="R158" s="19"/>
      <c r="S158" s="19" t="s">
        <v>142</v>
      </c>
      <c r="T158" s="19" t="s">
        <v>84</v>
      </c>
      <c r="U158" s="19" t="s">
        <v>1552</v>
      </c>
      <c r="V158" s="19" t="s">
        <v>75</v>
      </c>
      <c r="W158" s="19"/>
      <c r="X158" s="41"/>
    </row>
    <row r="159" spans="8:24" ht="20.100000000000001" customHeight="1">
      <c r="H159" s="6"/>
      <c r="I159" s="4">
        <v>156</v>
      </c>
      <c r="J159" s="19" t="s">
        <v>14</v>
      </c>
      <c r="K159" s="122">
        <v>45908</v>
      </c>
      <c r="L159" s="119" t="s">
        <v>1553</v>
      </c>
      <c r="M159" s="19" t="s">
        <v>78</v>
      </c>
      <c r="N159" s="19">
        <v>30</v>
      </c>
      <c r="O159" s="19">
        <v>200000</v>
      </c>
      <c r="P159" s="19">
        <v>200000</v>
      </c>
      <c r="Q159" s="19">
        <v>6000000</v>
      </c>
      <c r="R159" s="19"/>
      <c r="S159" s="19" t="s">
        <v>142</v>
      </c>
      <c r="T159" s="19" t="s">
        <v>84</v>
      </c>
      <c r="U159" s="19" t="s">
        <v>743</v>
      </c>
      <c r="V159" s="19" t="s">
        <v>881</v>
      </c>
      <c r="W159" s="19"/>
      <c r="X159" s="41"/>
    </row>
    <row r="160" spans="8:24" ht="20.100000000000001" customHeight="1">
      <c r="H160" s="6"/>
      <c r="I160" s="4">
        <v>157</v>
      </c>
      <c r="J160" s="19" t="s">
        <v>14</v>
      </c>
      <c r="K160" s="122">
        <v>45908</v>
      </c>
      <c r="L160" s="119" t="s">
        <v>1411</v>
      </c>
      <c r="M160" s="19" t="s">
        <v>78</v>
      </c>
      <c r="N160" s="19">
        <v>21</v>
      </c>
      <c r="O160" s="19">
        <v>200000</v>
      </c>
      <c r="P160" s="19">
        <v>180000</v>
      </c>
      <c r="Q160" s="19">
        <v>3780000</v>
      </c>
      <c r="R160" s="19"/>
      <c r="S160" s="19" t="s">
        <v>142</v>
      </c>
      <c r="T160" s="19" t="s">
        <v>84</v>
      </c>
      <c r="U160" s="19" t="s">
        <v>1554</v>
      </c>
      <c r="V160" s="19" t="s">
        <v>144</v>
      </c>
      <c r="W160" s="19"/>
      <c r="X160" s="41"/>
    </row>
    <row r="161" spans="8:24" ht="20.100000000000001" customHeight="1">
      <c r="H161" s="6"/>
      <c r="I161" s="4">
        <v>158</v>
      </c>
      <c r="J161" s="19" t="s">
        <v>14</v>
      </c>
      <c r="K161" s="122" t="s">
        <v>1555</v>
      </c>
      <c r="L161" s="13" t="s">
        <v>1556</v>
      </c>
      <c r="M161" s="19" t="s">
        <v>72</v>
      </c>
      <c r="N161" s="19">
        <v>20</v>
      </c>
      <c r="O161" s="19"/>
      <c r="P161" s="19">
        <f>Q161/N161</f>
        <v>500000</v>
      </c>
      <c r="Q161" s="19">
        <v>10000000</v>
      </c>
      <c r="R161" s="19"/>
      <c r="S161" s="19" t="s">
        <v>141</v>
      </c>
      <c r="T161" s="19" t="s">
        <v>115</v>
      </c>
      <c r="U161" s="4" t="s">
        <v>1027</v>
      </c>
      <c r="V161" s="19" t="s">
        <v>57</v>
      </c>
      <c r="W161" s="19"/>
      <c r="X161" s="41"/>
    </row>
    <row r="162" spans="8:24" ht="20.100000000000001" customHeight="1">
      <c r="H162" s="6"/>
      <c r="I162" s="4">
        <v>159</v>
      </c>
      <c r="J162" s="19" t="s">
        <v>27</v>
      </c>
      <c r="K162" s="65" t="s">
        <v>1555</v>
      </c>
      <c r="L162" s="13" t="s">
        <v>1557</v>
      </c>
      <c r="M162" s="13" t="s">
        <v>72</v>
      </c>
      <c r="N162" s="108" t="s">
        <v>81</v>
      </c>
      <c r="O162" s="108"/>
      <c r="P162" s="109" t="s">
        <v>81</v>
      </c>
      <c r="Q162" s="13">
        <v>5000000</v>
      </c>
      <c r="R162" s="13"/>
      <c r="S162" s="62" t="s">
        <v>141</v>
      </c>
      <c r="T162" s="66" t="s">
        <v>115</v>
      </c>
      <c r="U162" s="66" t="s">
        <v>154</v>
      </c>
      <c r="V162" s="13" t="s">
        <v>79</v>
      </c>
      <c r="W162" s="13" t="s">
        <v>79</v>
      </c>
      <c r="X162" s="41"/>
    </row>
    <row r="163" spans="8:24" ht="20.100000000000001" customHeight="1">
      <c r="H163" s="6"/>
      <c r="I163" s="4">
        <v>160</v>
      </c>
      <c r="J163" s="19" t="s">
        <v>14</v>
      </c>
      <c r="K163" s="65" t="s">
        <v>1555</v>
      </c>
      <c r="L163" s="64" t="s">
        <v>1558</v>
      </c>
      <c r="M163" s="64" t="s">
        <v>72</v>
      </c>
      <c r="N163" s="214" t="s">
        <v>81</v>
      </c>
      <c r="O163" s="214"/>
      <c r="P163" s="129" t="s">
        <v>81</v>
      </c>
      <c r="Q163" s="64">
        <v>5000000</v>
      </c>
      <c r="R163" s="64"/>
      <c r="S163" s="61" t="s">
        <v>141</v>
      </c>
      <c r="T163" s="19" t="s">
        <v>115</v>
      </c>
      <c r="U163" s="258" t="s">
        <v>154</v>
      </c>
      <c r="V163" s="64" t="s">
        <v>79</v>
      </c>
      <c r="W163" s="64" t="s">
        <v>79</v>
      </c>
      <c r="X163" s="41"/>
    </row>
    <row r="164" spans="8:24" ht="20.100000000000001" customHeight="1">
      <c r="H164" s="6"/>
      <c r="I164" s="4">
        <v>161</v>
      </c>
      <c r="J164" s="19" t="s">
        <v>14</v>
      </c>
      <c r="K164" s="122" t="s">
        <v>1555</v>
      </c>
      <c r="L164" s="64" t="s">
        <v>1559</v>
      </c>
      <c r="M164" s="64" t="s">
        <v>72</v>
      </c>
      <c r="N164" s="214" t="s">
        <v>81</v>
      </c>
      <c r="O164" s="214"/>
      <c r="P164" s="129" t="s">
        <v>81</v>
      </c>
      <c r="Q164" s="64">
        <v>5000000</v>
      </c>
      <c r="R164" s="64"/>
      <c r="S164" s="61" t="s">
        <v>141</v>
      </c>
      <c r="T164" s="19" t="s">
        <v>115</v>
      </c>
      <c r="U164" s="258" t="s">
        <v>154</v>
      </c>
      <c r="V164" s="64" t="s">
        <v>79</v>
      </c>
      <c r="W164" s="64" t="s">
        <v>79</v>
      </c>
      <c r="X164" s="41"/>
    </row>
    <row r="165" spans="8:24" ht="20.100000000000001" customHeight="1">
      <c r="H165" s="6"/>
      <c r="I165" s="4">
        <v>162</v>
      </c>
      <c r="J165" s="19" t="s">
        <v>14</v>
      </c>
      <c r="K165" s="65">
        <v>45915</v>
      </c>
      <c r="L165" s="64" t="s">
        <v>1560</v>
      </c>
      <c r="M165" s="64" t="s">
        <v>72</v>
      </c>
      <c r="N165" s="214">
        <v>50</v>
      </c>
      <c r="O165" s="214"/>
      <c r="P165" s="19">
        <f>Q165/N165</f>
        <v>200000</v>
      </c>
      <c r="Q165" s="64">
        <v>10000000</v>
      </c>
      <c r="R165" s="64"/>
      <c r="S165" s="61" t="s">
        <v>141</v>
      </c>
      <c r="T165" s="19" t="s">
        <v>115</v>
      </c>
      <c r="U165" s="258" t="s">
        <v>883</v>
      </c>
      <c r="V165" s="64" t="s">
        <v>79</v>
      </c>
      <c r="W165" s="64" t="s">
        <v>79</v>
      </c>
      <c r="X165" s="41"/>
    </row>
    <row r="166" spans="8:24" ht="20.100000000000001" customHeight="1">
      <c r="H166" s="6"/>
      <c r="I166" s="4">
        <v>163</v>
      </c>
      <c r="J166" s="19" t="s">
        <v>14</v>
      </c>
      <c r="K166" s="122" t="s">
        <v>1555</v>
      </c>
      <c r="L166" s="215" t="s">
        <v>1408</v>
      </c>
      <c r="M166" s="19" t="s">
        <v>78</v>
      </c>
      <c r="N166" s="19">
        <v>1</v>
      </c>
      <c r="O166" s="19">
        <v>200000</v>
      </c>
      <c r="P166" s="20">
        <f>Q166/N166</f>
        <v>300000</v>
      </c>
      <c r="Q166" s="19">
        <v>300000</v>
      </c>
      <c r="R166" s="19"/>
      <c r="S166" s="19" t="s">
        <v>142</v>
      </c>
      <c r="T166" s="19" t="s">
        <v>84</v>
      </c>
      <c r="U166" s="19" t="s">
        <v>1561</v>
      </c>
      <c r="V166" s="19" t="s">
        <v>75</v>
      </c>
      <c r="W166" s="19"/>
      <c r="X166" s="41"/>
    </row>
    <row r="167" spans="8:24" ht="20.100000000000001" customHeight="1">
      <c r="H167" s="6"/>
      <c r="I167" s="4">
        <v>165</v>
      </c>
      <c r="J167" s="64" t="s">
        <v>19</v>
      </c>
      <c r="K167" s="124">
        <v>45931</v>
      </c>
      <c r="L167" s="258" t="s">
        <v>723</v>
      </c>
      <c r="M167" s="63" t="s">
        <v>724</v>
      </c>
      <c r="N167" s="258" t="s">
        <v>81</v>
      </c>
      <c r="O167" s="258"/>
      <c r="P167" s="129" t="s">
        <v>81</v>
      </c>
      <c r="Q167" s="258">
        <v>20400000</v>
      </c>
      <c r="R167" s="64"/>
      <c r="S167" s="64" t="s">
        <v>141</v>
      </c>
      <c r="T167" s="64" t="s">
        <v>115</v>
      </c>
      <c r="U167" s="4" t="s">
        <v>143</v>
      </c>
      <c r="V167" s="4" t="s">
        <v>683</v>
      </c>
      <c r="W167" s="64"/>
      <c r="X167" s="41"/>
    </row>
    <row r="168" spans="8:24" ht="20.100000000000001" customHeight="1">
      <c r="H168" s="6"/>
      <c r="I168" s="4">
        <v>166</v>
      </c>
      <c r="J168" s="64" t="s">
        <v>19</v>
      </c>
      <c r="K168" s="122">
        <v>45931</v>
      </c>
      <c r="L168" s="19" t="s">
        <v>1571</v>
      </c>
      <c r="M168" s="19" t="s">
        <v>72</v>
      </c>
      <c r="N168" s="19">
        <v>500</v>
      </c>
      <c r="O168" s="19"/>
      <c r="P168" s="20">
        <f>Q168/N168</f>
        <v>160000</v>
      </c>
      <c r="Q168" s="19">
        <v>80000000</v>
      </c>
      <c r="R168" s="19"/>
      <c r="S168" s="19" t="s">
        <v>141</v>
      </c>
      <c r="T168" s="19" t="s">
        <v>115</v>
      </c>
      <c r="U168" s="258" t="s">
        <v>154</v>
      </c>
      <c r="V168" s="4" t="s">
        <v>683</v>
      </c>
      <c r="W168" s="19" t="s">
        <v>79</v>
      </c>
      <c r="X168" s="41"/>
    </row>
    <row r="169" spans="8:24" ht="20.100000000000001" customHeight="1">
      <c r="H169" s="6"/>
      <c r="I169" s="4">
        <v>167</v>
      </c>
      <c r="J169" s="64" t="s">
        <v>19</v>
      </c>
      <c r="K169" s="124">
        <v>45931</v>
      </c>
      <c r="L169" s="64" t="s">
        <v>598</v>
      </c>
      <c r="M169" s="64" t="s">
        <v>724</v>
      </c>
      <c r="N169" s="64">
        <v>140</v>
      </c>
      <c r="O169" s="64"/>
      <c r="P169" s="129" t="s">
        <v>81</v>
      </c>
      <c r="Q169" s="64">
        <v>1200000</v>
      </c>
      <c r="R169" s="64"/>
      <c r="S169" s="64" t="s">
        <v>142</v>
      </c>
      <c r="T169" s="64" t="s">
        <v>84</v>
      </c>
      <c r="U169" s="258" t="s">
        <v>886</v>
      </c>
      <c r="V169" s="258" t="s">
        <v>887</v>
      </c>
      <c r="W169" s="64"/>
      <c r="X169" s="41"/>
    </row>
    <row r="170" spans="8:24" ht="20.100000000000001" customHeight="1">
      <c r="H170" s="6"/>
      <c r="I170" s="4">
        <v>168</v>
      </c>
      <c r="J170" s="64" t="s">
        <v>19</v>
      </c>
      <c r="K170" s="124">
        <v>45931</v>
      </c>
      <c r="L170" s="121" t="s">
        <v>1412</v>
      </c>
      <c r="M170" s="64" t="s">
        <v>78</v>
      </c>
      <c r="N170" s="64">
        <v>4</v>
      </c>
      <c r="O170" s="64">
        <v>200000</v>
      </c>
      <c r="P170" s="129">
        <v>80000</v>
      </c>
      <c r="Q170" s="64">
        <v>330000</v>
      </c>
      <c r="R170" s="64"/>
      <c r="S170" s="64" t="s">
        <v>142</v>
      </c>
      <c r="T170" s="64" t="s">
        <v>84</v>
      </c>
      <c r="U170" s="258" t="s">
        <v>1562</v>
      </c>
      <c r="V170" s="258" t="s">
        <v>75</v>
      </c>
      <c r="W170" s="64"/>
      <c r="X170" s="41"/>
    </row>
    <row r="171" spans="8:24" ht="20.100000000000001" customHeight="1">
      <c r="H171" s="6"/>
      <c r="I171" s="4">
        <v>169</v>
      </c>
      <c r="J171" s="19" t="s">
        <v>19</v>
      </c>
      <c r="K171" s="124">
        <v>45931</v>
      </c>
      <c r="L171" s="64" t="s">
        <v>1563</v>
      </c>
      <c r="M171" s="64" t="s">
        <v>78</v>
      </c>
      <c r="N171" s="64">
        <v>210</v>
      </c>
      <c r="O171" s="64"/>
      <c r="P171" s="129">
        <v>1000000</v>
      </c>
      <c r="Q171" s="64">
        <v>21000000</v>
      </c>
      <c r="R171" s="64"/>
      <c r="S171" s="64" t="s">
        <v>142</v>
      </c>
      <c r="T171" s="64" t="s">
        <v>84</v>
      </c>
      <c r="U171" s="64" t="s">
        <v>792</v>
      </c>
      <c r="V171" s="64" t="s">
        <v>690</v>
      </c>
      <c r="W171" s="64"/>
      <c r="X171" s="41"/>
    </row>
    <row r="172" spans="8:24" ht="20.100000000000001" customHeight="1">
      <c r="H172" s="6"/>
      <c r="I172" s="4">
        <v>170</v>
      </c>
      <c r="J172" s="19" t="s">
        <v>19</v>
      </c>
      <c r="K172" s="122">
        <v>45931</v>
      </c>
      <c r="L172" s="19" t="s">
        <v>1564</v>
      </c>
      <c r="M172" s="19" t="s">
        <v>78</v>
      </c>
      <c r="N172" s="19">
        <v>30</v>
      </c>
      <c r="O172" s="19"/>
      <c r="P172" s="20">
        <v>1000000</v>
      </c>
      <c r="Q172" s="19">
        <v>3000000</v>
      </c>
      <c r="R172" s="19"/>
      <c r="S172" s="19" t="s">
        <v>142</v>
      </c>
      <c r="T172" s="19" t="s">
        <v>84</v>
      </c>
      <c r="U172" s="19" t="s">
        <v>792</v>
      </c>
      <c r="V172" s="19" t="s">
        <v>690</v>
      </c>
      <c r="W172" s="19"/>
      <c r="X172" s="41"/>
    </row>
    <row r="173" spans="8:24" ht="20.100000000000001" customHeight="1">
      <c r="H173" s="6"/>
      <c r="I173" s="4">
        <v>171</v>
      </c>
      <c r="J173" s="19" t="s">
        <v>19</v>
      </c>
      <c r="K173" s="122">
        <v>45931</v>
      </c>
      <c r="L173" s="121" t="s">
        <v>110</v>
      </c>
      <c r="M173" s="64" t="s">
        <v>78</v>
      </c>
      <c r="N173" s="64">
        <v>150</v>
      </c>
      <c r="O173" s="64">
        <v>200000</v>
      </c>
      <c r="P173" s="129">
        <v>1600000</v>
      </c>
      <c r="Q173" s="64">
        <v>24000000</v>
      </c>
      <c r="R173" s="64"/>
      <c r="S173" s="19" t="s">
        <v>142</v>
      </c>
      <c r="T173" s="19" t="s">
        <v>84</v>
      </c>
      <c r="U173" s="258" t="s">
        <v>143</v>
      </c>
      <c r="V173" s="258" t="s">
        <v>62</v>
      </c>
      <c r="W173" s="64"/>
      <c r="X173" s="41"/>
    </row>
    <row r="174" spans="8:24" ht="20.100000000000001" customHeight="1">
      <c r="H174" s="6"/>
      <c r="I174" s="4">
        <v>172</v>
      </c>
      <c r="J174" s="19" t="s">
        <v>19</v>
      </c>
      <c r="K174" s="122">
        <v>45931</v>
      </c>
      <c r="L174" s="64" t="s">
        <v>1565</v>
      </c>
      <c r="M174" s="64" t="s">
        <v>78</v>
      </c>
      <c r="N174" s="64">
        <v>66</v>
      </c>
      <c r="O174" s="64"/>
      <c r="P174" s="129">
        <v>80000</v>
      </c>
      <c r="Q174" s="64">
        <v>5500000</v>
      </c>
      <c r="R174" s="64"/>
      <c r="S174" s="19" t="s">
        <v>141</v>
      </c>
      <c r="T174" s="19" t="s">
        <v>84</v>
      </c>
      <c r="U174" s="258" t="s">
        <v>1566</v>
      </c>
      <c r="V174" s="258" t="s">
        <v>683</v>
      </c>
      <c r="W174" s="64"/>
      <c r="X174" s="41"/>
    </row>
    <row r="175" spans="8:24" ht="20.100000000000001" customHeight="1">
      <c r="H175" s="6"/>
      <c r="I175" s="4">
        <v>173</v>
      </c>
      <c r="J175" s="19" t="s">
        <v>19</v>
      </c>
      <c r="K175" s="122">
        <v>45931</v>
      </c>
      <c r="L175" s="215" t="s">
        <v>1567</v>
      </c>
      <c r="M175" s="64" t="s">
        <v>78</v>
      </c>
      <c r="N175" s="64">
        <v>20</v>
      </c>
      <c r="O175" s="64">
        <v>200000</v>
      </c>
      <c r="P175" s="129">
        <v>20000</v>
      </c>
      <c r="Q175" s="64">
        <v>416666</v>
      </c>
      <c r="R175" s="64"/>
      <c r="S175" s="19" t="s">
        <v>142</v>
      </c>
      <c r="T175" s="19" t="s">
        <v>84</v>
      </c>
      <c r="U175" s="258" t="s">
        <v>1568</v>
      </c>
      <c r="V175" s="258" t="s">
        <v>769</v>
      </c>
      <c r="W175" s="64"/>
      <c r="X175" s="41"/>
    </row>
    <row r="176" spans="8:24" ht="20.100000000000001" customHeight="1">
      <c r="H176" s="6"/>
      <c r="I176" s="4">
        <v>174</v>
      </c>
      <c r="J176" s="19" t="s">
        <v>19</v>
      </c>
      <c r="K176" s="122">
        <v>45931</v>
      </c>
      <c r="L176" s="121" t="s">
        <v>1598</v>
      </c>
      <c r="M176" s="64" t="s">
        <v>78</v>
      </c>
      <c r="N176" s="64">
        <v>40</v>
      </c>
      <c r="O176" s="64">
        <v>200000</v>
      </c>
      <c r="P176" s="129">
        <v>21000</v>
      </c>
      <c r="Q176" s="64">
        <v>830000</v>
      </c>
      <c r="R176" s="64"/>
      <c r="S176" s="19" t="s">
        <v>142</v>
      </c>
      <c r="T176" s="19" t="s">
        <v>84</v>
      </c>
      <c r="U176" s="258" t="s">
        <v>1592</v>
      </c>
      <c r="V176" s="258" t="s">
        <v>1593</v>
      </c>
      <c r="W176" s="64"/>
      <c r="X176" s="41"/>
    </row>
    <row r="177" spans="8:24" ht="20.100000000000001" customHeight="1">
      <c r="H177" s="6"/>
      <c r="I177" s="4">
        <v>175</v>
      </c>
      <c r="J177" s="19" t="s">
        <v>12</v>
      </c>
      <c r="K177" s="122">
        <v>45942</v>
      </c>
      <c r="L177" s="13" t="s">
        <v>1573</v>
      </c>
      <c r="M177" s="19" t="s">
        <v>72</v>
      </c>
      <c r="N177" s="19">
        <v>2000</v>
      </c>
      <c r="O177" s="19"/>
      <c r="P177" s="216" t="s">
        <v>81</v>
      </c>
      <c r="Q177" s="19">
        <v>2000000</v>
      </c>
      <c r="R177" s="19"/>
      <c r="S177" s="19" t="s">
        <v>141</v>
      </c>
      <c r="T177" s="19" t="s">
        <v>84</v>
      </c>
      <c r="U177" s="258" t="s">
        <v>1597</v>
      </c>
      <c r="V177" s="4" t="s">
        <v>75</v>
      </c>
      <c r="W177" s="19"/>
      <c r="X177" s="41"/>
    </row>
    <row r="178" spans="8:24" ht="20.100000000000001" customHeight="1">
      <c r="H178" s="6"/>
      <c r="I178" s="4">
        <v>176</v>
      </c>
      <c r="J178" s="19" t="s">
        <v>19</v>
      </c>
      <c r="K178" s="122">
        <v>45943</v>
      </c>
      <c r="L178" s="117" t="s">
        <v>1599</v>
      </c>
      <c r="M178" s="64" t="s">
        <v>78</v>
      </c>
      <c r="N178" s="64">
        <v>4</v>
      </c>
      <c r="O178" s="64">
        <v>200000</v>
      </c>
      <c r="P178" s="129">
        <v>1600000</v>
      </c>
      <c r="Q178" s="64">
        <v>6400000</v>
      </c>
      <c r="R178" s="64"/>
      <c r="S178" s="19" t="s">
        <v>142</v>
      </c>
      <c r="T178" s="258" t="s">
        <v>84</v>
      </c>
      <c r="U178" s="258" t="s">
        <v>1600</v>
      </c>
      <c r="V178" s="64" t="s">
        <v>1601</v>
      </c>
      <c r="W178" s="64"/>
      <c r="X178" s="41"/>
    </row>
    <row r="179" spans="8:24" ht="20.100000000000001" customHeight="1">
      <c r="H179" s="6"/>
      <c r="I179" s="4">
        <v>177</v>
      </c>
      <c r="J179" s="19" t="s">
        <v>12</v>
      </c>
      <c r="K179" s="122">
        <v>45943</v>
      </c>
      <c r="L179" s="117" t="s">
        <v>1396</v>
      </c>
      <c r="M179" s="64" t="s">
        <v>72</v>
      </c>
      <c r="N179" s="64">
        <v>10</v>
      </c>
      <c r="O179" s="64">
        <v>200000</v>
      </c>
      <c r="P179" s="129">
        <v>200000</v>
      </c>
      <c r="Q179" s="64">
        <v>2000000</v>
      </c>
      <c r="R179" s="64"/>
      <c r="S179" s="19" t="s">
        <v>142</v>
      </c>
      <c r="T179" s="19" t="s">
        <v>84</v>
      </c>
      <c r="U179" s="258" t="s">
        <v>1602</v>
      </c>
      <c r="V179" s="258" t="s">
        <v>1593</v>
      </c>
      <c r="W179" s="64"/>
      <c r="X179" s="41"/>
    </row>
    <row r="180" spans="8:24" ht="20.100000000000001" customHeight="1" thickBot="1">
      <c r="H180" s="6"/>
      <c r="I180" s="4">
        <v>178</v>
      </c>
      <c r="J180" s="19" t="s">
        <v>12</v>
      </c>
      <c r="K180" s="260">
        <v>45957</v>
      </c>
      <c r="L180" s="261" t="s">
        <v>1706</v>
      </c>
      <c r="M180" s="262" t="s">
        <v>78</v>
      </c>
      <c r="N180" s="262">
        <v>55</v>
      </c>
      <c r="O180" s="262">
        <v>200000</v>
      </c>
      <c r="P180" s="263"/>
      <c r="Q180" s="262">
        <v>4000000</v>
      </c>
      <c r="R180" s="262"/>
      <c r="S180" s="262" t="s">
        <v>142</v>
      </c>
      <c r="T180" s="262" t="s">
        <v>84</v>
      </c>
      <c r="U180" s="264" t="s">
        <v>1707</v>
      </c>
      <c r="V180" s="264" t="s">
        <v>75</v>
      </c>
      <c r="W180" s="262"/>
      <c r="X180" s="41"/>
    </row>
    <row r="181" spans="8:24" ht="20.100000000000001" customHeight="1">
      <c r="H181" s="6"/>
      <c r="I181" s="4">
        <v>179</v>
      </c>
      <c r="J181" s="64" t="s">
        <v>29</v>
      </c>
      <c r="K181" s="266">
        <v>45962</v>
      </c>
      <c r="L181" s="267" t="s">
        <v>1722</v>
      </c>
      <c r="M181" s="268" t="s">
        <v>78</v>
      </c>
      <c r="N181" s="268">
        <v>20</v>
      </c>
      <c r="O181" s="268">
        <v>200000</v>
      </c>
      <c r="P181" s="268">
        <v>83333</v>
      </c>
      <c r="Q181" s="268">
        <v>83333</v>
      </c>
      <c r="R181" s="268" t="s">
        <v>115</v>
      </c>
      <c r="S181" s="268" t="s">
        <v>142</v>
      </c>
      <c r="T181" s="268" t="s">
        <v>115</v>
      </c>
      <c r="U181" s="269" t="s">
        <v>1723</v>
      </c>
      <c r="V181" s="269" t="s">
        <v>1724</v>
      </c>
      <c r="W181" s="268"/>
      <c r="X181" s="41"/>
    </row>
    <row r="182" spans="8:24" ht="20.100000000000001" customHeight="1">
      <c r="H182" s="6"/>
      <c r="I182" s="4">
        <v>181</v>
      </c>
      <c r="J182" s="19" t="s">
        <v>29</v>
      </c>
      <c r="K182" s="122">
        <v>45964</v>
      </c>
      <c r="L182" s="119" t="s">
        <v>1725</v>
      </c>
      <c r="M182" s="19" t="s">
        <v>78</v>
      </c>
      <c r="N182" s="19">
        <v>11</v>
      </c>
      <c r="O182" s="19">
        <v>200000</v>
      </c>
      <c r="P182" s="20"/>
      <c r="Q182" s="20">
        <v>4000000</v>
      </c>
      <c r="R182" s="19"/>
      <c r="S182" s="19" t="s">
        <v>142</v>
      </c>
      <c r="T182" s="19" t="s">
        <v>84</v>
      </c>
      <c r="U182" s="4" t="s">
        <v>1726</v>
      </c>
      <c r="V182" s="4" t="s">
        <v>1727</v>
      </c>
      <c r="W182" s="19"/>
      <c r="X182" s="41"/>
    </row>
    <row r="183" spans="8:24" ht="20.100000000000001" customHeight="1">
      <c r="H183" s="6"/>
      <c r="I183" s="4">
        <v>182</v>
      </c>
      <c r="J183" s="64" t="s">
        <v>29</v>
      </c>
      <c r="K183" s="122">
        <v>45964</v>
      </c>
      <c r="L183" s="13" t="s">
        <v>1569</v>
      </c>
      <c r="M183" s="19" t="s">
        <v>72</v>
      </c>
      <c r="N183" s="19">
        <v>400</v>
      </c>
      <c r="O183" s="19"/>
      <c r="P183" s="20">
        <v>100000</v>
      </c>
      <c r="Q183" s="19">
        <v>40000000</v>
      </c>
      <c r="R183" s="19"/>
      <c r="S183" s="19" t="s">
        <v>142</v>
      </c>
      <c r="T183" s="19" t="s">
        <v>84</v>
      </c>
      <c r="U183" s="4" t="s">
        <v>143</v>
      </c>
      <c r="V183" s="4" t="s">
        <v>144</v>
      </c>
      <c r="W183" s="19"/>
      <c r="X183" s="41"/>
    </row>
    <row r="184" spans="8:24" ht="20.100000000000001" customHeight="1">
      <c r="H184" s="6"/>
      <c r="I184" s="4">
        <v>183</v>
      </c>
      <c r="J184" s="64" t="s">
        <v>29</v>
      </c>
      <c r="K184" s="122">
        <v>45971</v>
      </c>
      <c r="L184" s="119" t="s">
        <v>1621</v>
      </c>
      <c r="M184" s="19" t="s">
        <v>78</v>
      </c>
      <c r="N184" s="19">
        <v>25</v>
      </c>
      <c r="O184" s="19">
        <v>200000</v>
      </c>
      <c r="P184" s="265"/>
      <c r="Q184" s="19">
        <v>5000000</v>
      </c>
      <c r="R184" s="103"/>
      <c r="S184" s="19" t="s">
        <v>142</v>
      </c>
      <c r="T184" s="19" t="s">
        <v>84</v>
      </c>
      <c r="U184" s="4" t="s">
        <v>685</v>
      </c>
      <c r="V184" s="4" t="s">
        <v>1175</v>
      </c>
      <c r="W184" s="103"/>
      <c r="X184" s="41"/>
    </row>
    <row r="185" spans="8:24" ht="20.100000000000001" customHeight="1">
      <c r="H185" s="6"/>
      <c r="I185" s="4">
        <v>184</v>
      </c>
      <c r="J185" s="19" t="s">
        <v>29</v>
      </c>
      <c r="K185" s="124">
        <v>45971</v>
      </c>
      <c r="L185" s="117" t="s">
        <v>1594</v>
      </c>
      <c r="M185" s="64" t="s">
        <v>78</v>
      </c>
      <c r="N185" s="64">
        <v>170</v>
      </c>
      <c r="O185" s="64">
        <v>200000</v>
      </c>
      <c r="P185" s="129">
        <v>120000</v>
      </c>
      <c r="Q185" s="129">
        <v>20000000</v>
      </c>
      <c r="R185" s="64"/>
      <c r="S185" s="64" t="s">
        <v>142</v>
      </c>
      <c r="T185" s="64" t="s">
        <v>84</v>
      </c>
      <c r="U185" s="258" t="s">
        <v>1595</v>
      </c>
      <c r="V185" s="258" t="s">
        <v>1596</v>
      </c>
      <c r="W185" s="64"/>
      <c r="X185" s="41"/>
    </row>
    <row r="186" spans="8:24" ht="20.100000000000001" customHeight="1" thickBot="1">
      <c r="H186" s="6"/>
      <c r="I186" s="4">
        <v>185</v>
      </c>
      <c r="J186" s="19" t="s">
        <v>29</v>
      </c>
      <c r="K186" s="125">
        <v>45971</v>
      </c>
      <c r="L186" s="279" t="s">
        <v>1733</v>
      </c>
      <c r="M186" s="88" t="s">
        <v>78</v>
      </c>
      <c r="N186" s="88">
        <v>35</v>
      </c>
      <c r="O186" s="88">
        <v>200000</v>
      </c>
      <c r="P186" s="280"/>
      <c r="Q186" s="280">
        <v>2000000</v>
      </c>
      <c r="R186" s="88"/>
      <c r="S186" s="88" t="s">
        <v>142</v>
      </c>
      <c r="T186" s="88" t="s">
        <v>84</v>
      </c>
      <c r="U186" s="68" t="s">
        <v>1022</v>
      </c>
      <c r="V186" s="68" t="s">
        <v>75</v>
      </c>
      <c r="W186" s="88"/>
      <c r="X186" s="41"/>
    </row>
    <row r="187" spans="8:24" ht="20.100000000000001" customHeight="1" thickTop="1">
      <c r="H187" s="6"/>
      <c r="I187" s="4">
        <v>186</v>
      </c>
      <c r="J187" s="19" t="s">
        <v>30</v>
      </c>
      <c r="K187" s="122">
        <v>45992</v>
      </c>
      <c r="L187" s="4" t="s">
        <v>1728</v>
      </c>
      <c r="M187" s="19" t="s">
        <v>72</v>
      </c>
      <c r="N187" s="19">
        <v>20</v>
      </c>
      <c r="O187" s="19"/>
      <c r="P187" s="20"/>
      <c r="Q187" s="20">
        <v>7000000</v>
      </c>
      <c r="R187" s="19"/>
      <c r="S187" s="19" t="s">
        <v>142</v>
      </c>
      <c r="T187" s="19" t="s">
        <v>84</v>
      </c>
      <c r="U187" s="4" t="s">
        <v>1729</v>
      </c>
      <c r="V187" s="4" t="s">
        <v>75</v>
      </c>
      <c r="W187" s="19"/>
      <c r="X187" s="41"/>
    </row>
    <row r="188" spans="8:24" ht="20.100000000000001" customHeight="1">
      <c r="H188" s="6"/>
      <c r="I188" s="4">
        <v>187</v>
      </c>
      <c r="J188" s="64" t="s">
        <v>30</v>
      </c>
      <c r="K188" s="122">
        <v>45992</v>
      </c>
      <c r="L188" s="215" t="s">
        <v>1777</v>
      </c>
      <c r="M188" s="19" t="s">
        <v>185</v>
      </c>
      <c r="N188" s="19">
        <v>30</v>
      </c>
      <c r="O188" s="19">
        <v>200000</v>
      </c>
      <c r="P188" s="20"/>
      <c r="Q188" s="19">
        <v>6000000</v>
      </c>
      <c r="R188" s="19"/>
      <c r="S188" s="19" t="s">
        <v>142</v>
      </c>
      <c r="T188" s="19" t="s">
        <v>84</v>
      </c>
      <c r="U188" s="19" t="s">
        <v>1778</v>
      </c>
      <c r="V188" s="19" t="s">
        <v>75</v>
      </c>
      <c r="W188" s="19"/>
      <c r="X188" s="41"/>
    </row>
    <row r="189" spans="8:24" ht="20.100000000000001" customHeight="1">
      <c r="H189" s="6"/>
      <c r="I189" s="4">
        <v>188</v>
      </c>
      <c r="J189" s="64" t="s">
        <v>30</v>
      </c>
      <c r="K189" s="122">
        <v>45992</v>
      </c>
      <c r="L189" s="19" t="s">
        <v>35</v>
      </c>
      <c r="M189" s="19" t="s">
        <v>72</v>
      </c>
      <c r="N189" s="19">
        <v>3500</v>
      </c>
      <c r="O189" s="19"/>
      <c r="P189" s="19">
        <f>Q189/N189</f>
        <v>114285.71428571429</v>
      </c>
      <c r="Q189" s="19">
        <v>400000000</v>
      </c>
      <c r="R189" s="19"/>
      <c r="S189" s="19" t="s">
        <v>141</v>
      </c>
      <c r="T189" s="19" t="s">
        <v>115</v>
      </c>
      <c r="U189" s="4" t="s">
        <v>154</v>
      </c>
      <c r="V189" s="19" t="s">
        <v>57</v>
      </c>
      <c r="W189" s="19" t="s">
        <v>79</v>
      </c>
      <c r="X189" s="41"/>
    </row>
    <row r="190" spans="8:24" ht="20.100000000000001" customHeight="1">
      <c r="H190" s="6"/>
      <c r="I190" s="4">
        <v>189</v>
      </c>
      <c r="J190" s="19" t="s">
        <v>30</v>
      </c>
      <c r="K190" s="124">
        <v>45999</v>
      </c>
      <c r="L190" s="215" t="s">
        <v>1835</v>
      </c>
      <c r="M190" s="64" t="s">
        <v>72</v>
      </c>
      <c r="N190" s="64">
        <v>30</v>
      </c>
      <c r="O190" s="19">
        <v>200000</v>
      </c>
      <c r="P190" s="64"/>
      <c r="Q190" s="64">
        <v>2500000</v>
      </c>
      <c r="R190" s="64"/>
      <c r="S190" s="64" t="s">
        <v>142</v>
      </c>
      <c r="T190" s="64" t="s">
        <v>84</v>
      </c>
      <c r="U190" s="281" t="s">
        <v>1836</v>
      </c>
      <c r="V190" s="64" t="s">
        <v>1274</v>
      </c>
      <c r="W190" s="64"/>
      <c r="X190" s="41"/>
    </row>
    <row r="191" spans="8:24" ht="20.100000000000001" customHeight="1">
      <c r="H191" s="6"/>
      <c r="I191" s="4">
        <v>190</v>
      </c>
      <c r="J191" s="19" t="s">
        <v>30</v>
      </c>
      <c r="K191" s="124">
        <v>45999</v>
      </c>
      <c r="L191" s="215" t="s">
        <v>1904</v>
      </c>
      <c r="M191" s="64" t="s">
        <v>78</v>
      </c>
      <c r="N191" s="64">
        <v>123</v>
      </c>
      <c r="O191" s="19">
        <v>200000</v>
      </c>
      <c r="P191" s="64"/>
      <c r="Q191" s="64">
        <v>15000000</v>
      </c>
      <c r="R191" s="64"/>
      <c r="S191" s="64" t="s">
        <v>142</v>
      </c>
      <c r="T191" s="64" t="s">
        <v>84</v>
      </c>
      <c r="U191" s="281" t="s">
        <v>697</v>
      </c>
      <c r="V191" s="64" t="s">
        <v>75</v>
      </c>
      <c r="W191" s="64"/>
      <c r="X191" s="41"/>
    </row>
    <row r="192" spans="8:24" ht="20.100000000000001" customHeight="1">
      <c r="H192" s="6"/>
      <c r="I192" s="4">
        <v>191</v>
      </c>
      <c r="J192" s="19" t="s">
        <v>30</v>
      </c>
      <c r="K192" s="124">
        <v>45999</v>
      </c>
      <c r="L192" s="19" t="s">
        <v>1905</v>
      </c>
      <c r="M192" s="64" t="s">
        <v>78</v>
      </c>
      <c r="N192" s="64">
        <v>35</v>
      </c>
      <c r="O192" s="19"/>
      <c r="P192" s="64"/>
      <c r="Q192" s="64">
        <v>7000000</v>
      </c>
      <c r="R192" s="64"/>
      <c r="S192" s="19" t="s">
        <v>141</v>
      </c>
      <c r="T192" s="64" t="s">
        <v>84</v>
      </c>
      <c r="U192" s="281" t="s">
        <v>1906</v>
      </c>
      <c r="V192" s="64" t="s">
        <v>718</v>
      </c>
      <c r="W192" s="64"/>
      <c r="X192" s="41"/>
    </row>
    <row r="193" spans="8:24" ht="20.100000000000001" customHeight="1">
      <c r="H193" s="6"/>
      <c r="I193" s="4">
        <v>192</v>
      </c>
      <c r="J193" s="19" t="s">
        <v>30</v>
      </c>
      <c r="K193" s="124">
        <v>46006</v>
      </c>
      <c r="L193" s="215" t="s">
        <v>1907</v>
      </c>
      <c r="M193" s="64" t="s">
        <v>78</v>
      </c>
      <c r="N193" s="64">
        <v>1000</v>
      </c>
      <c r="O193" s="19">
        <v>200000</v>
      </c>
      <c r="P193" s="64"/>
      <c r="Q193" s="64">
        <v>4200000</v>
      </c>
      <c r="R193" s="64"/>
      <c r="S193" s="64" t="s">
        <v>142</v>
      </c>
      <c r="T193" s="64" t="s">
        <v>84</v>
      </c>
      <c r="U193" s="281" t="s">
        <v>1908</v>
      </c>
      <c r="V193" s="64" t="s">
        <v>1909</v>
      </c>
      <c r="W193" s="64"/>
      <c r="X193" s="41"/>
    </row>
    <row r="194" spans="8:24" ht="20.100000000000001" customHeight="1">
      <c r="H194" s="6"/>
      <c r="I194" s="4">
        <v>193</v>
      </c>
      <c r="J194" s="19" t="s">
        <v>30</v>
      </c>
      <c r="K194" s="124">
        <v>46013</v>
      </c>
      <c r="L194" s="64" t="s">
        <v>1570</v>
      </c>
      <c r="M194" s="64" t="s">
        <v>72</v>
      </c>
      <c r="N194" s="64">
        <v>200</v>
      </c>
      <c r="O194" s="64"/>
      <c r="P194" s="129"/>
      <c r="Q194" s="64">
        <v>30000000</v>
      </c>
      <c r="R194" s="64"/>
      <c r="S194" s="64" t="s">
        <v>142</v>
      </c>
      <c r="T194" s="64" t="s">
        <v>84</v>
      </c>
      <c r="U194" s="64" t="s">
        <v>1730</v>
      </c>
      <c r="V194" s="64" t="s">
        <v>1731</v>
      </c>
      <c r="W194" s="64"/>
      <c r="X194" s="41"/>
    </row>
    <row r="195" spans="8:24" ht="20.100000000000001" customHeight="1">
      <c r="H195" s="6"/>
      <c r="I195" s="4">
        <v>194</v>
      </c>
      <c r="J195" s="64" t="s">
        <v>30</v>
      </c>
      <c r="K195" s="122">
        <v>46013</v>
      </c>
      <c r="L195" s="13" t="s">
        <v>1030</v>
      </c>
      <c r="M195" s="19" t="s">
        <v>78</v>
      </c>
      <c r="N195" s="19">
        <v>30</v>
      </c>
      <c r="O195" s="64"/>
      <c r="P195" s="19"/>
      <c r="Q195" s="19">
        <v>4000000</v>
      </c>
      <c r="R195" s="19"/>
      <c r="S195" s="19" t="s">
        <v>142</v>
      </c>
      <c r="T195" s="19" t="s">
        <v>84</v>
      </c>
      <c r="U195" s="4" t="s">
        <v>1776</v>
      </c>
      <c r="V195" s="19" t="s">
        <v>1779</v>
      </c>
      <c r="W195" s="19"/>
      <c r="X195" s="41"/>
    </row>
    <row r="196" spans="8:24" ht="20.100000000000001" customHeight="1">
      <c r="H196" s="6"/>
      <c r="I196" s="4">
        <v>197</v>
      </c>
      <c r="J196" s="19" t="s">
        <v>30</v>
      </c>
      <c r="K196" s="122">
        <v>46013</v>
      </c>
      <c r="L196" s="119" t="s">
        <v>1732</v>
      </c>
      <c r="M196" s="19" t="s">
        <v>72</v>
      </c>
      <c r="N196" s="19">
        <v>50</v>
      </c>
      <c r="O196" s="19">
        <v>200000</v>
      </c>
      <c r="P196" s="20"/>
      <c r="Q196" s="20">
        <v>8000000</v>
      </c>
      <c r="R196" s="19"/>
      <c r="S196" s="19" t="s">
        <v>142</v>
      </c>
      <c r="T196" s="19" t="s">
        <v>84</v>
      </c>
      <c r="U196" s="4" t="s">
        <v>1734</v>
      </c>
      <c r="V196" s="4" t="s">
        <v>1735</v>
      </c>
      <c r="W196" s="19"/>
      <c r="X196" s="41"/>
    </row>
    <row r="197" spans="8:24" ht="20.100000000000001" customHeight="1">
      <c r="H197" s="6"/>
      <c r="I197" s="358">
        <v>198</v>
      </c>
      <c r="J197" s="64" t="s">
        <v>30</v>
      </c>
      <c r="K197" s="122">
        <v>46020</v>
      </c>
      <c r="L197" s="371" t="s">
        <v>1824</v>
      </c>
      <c r="M197" s="19" t="s">
        <v>72</v>
      </c>
      <c r="N197" s="19">
        <v>50</v>
      </c>
      <c r="O197" s="19">
        <v>200000</v>
      </c>
      <c r="P197" s="20"/>
      <c r="Q197" s="20">
        <v>10000000</v>
      </c>
      <c r="R197" s="19"/>
      <c r="S197" s="19" t="s">
        <v>142</v>
      </c>
      <c r="T197" s="19" t="s">
        <v>84</v>
      </c>
      <c r="U197" s="4" t="s">
        <v>1407</v>
      </c>
      <c r="V197" s="4" t="s">
        <v>34</v>
      </c>
      <c r="W197" s="19"/>
      <c r="X197" s="41"/>
    </row>
    <row r="198" spans="8:24" ht="20.100000000000001" customHeight="1"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</sheetData>
  <autoFilter ref="I2:W184" xr:uid="{00000000-0009-0000-0000-000002000000}"/>
  <mergeCells count="12">
    <mergeCell ref="S3:W3"/>
    <mergeCell ref="B13:B15"/>
    <mergeCell ref="B3:C3"/>
    <mergeCell ref="B2:C2"/>
    <mergeCell ref="B4:B6"/>
    <mergeCell ref="B7:B9"/>
    <mergeCell ref="B10:B12"/>
    <mergeCell ref="B17:C17"/>
    <mergeCell ref="B18:C18"/>
    <mergeCell ref="B19:C19"/>
    <mergeCell ref="B20:C20"/>
    <mergeCell ref="I3:K3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98168889431442"/>
  </sheetPr>
  <dimension ref="A1:R67"/>
  <sheetViews>
    <sheetView topLeftCell="A6" zoomScale="90" zoomScaleNormal="90" workbookViewId="0">
      <selection activeCell="I33" sqref="I33"/>
    </sheetView>
  </sheetViews>
  <sheetFormatPr defaultColWidth="9" defaultRowHeight="12"/>
  <cols>
    <col min="1" max="1" width="3.5" style="1" customWidth="1"/>
    <col min="2" max="2" width="6.375" style="1" customWidth="1"/>
    <col min="3" max="3" width="14.875" style="1" customWidth="1"/>
    <col min="4" max="4" width="15" style="1" bestFit="1" customWidth="1"/>
    <col min="5" max="12" width="12.875" style="1" bestFit="1" customWidth="1"/>
    <col min="13" max="14" width="12.5" style="1" bestFit="1" customWidth="1"/>
    <col min="15" max="15" width="12.875" style="1" bestFit="1" customWidth="1"/>
    <col min="16" max="16" width="12.5" style="1" bestFit="1" customWidth="1"/>
    <col min="17" max="17" width="15" style="1" customWidth="1"/>
    <col min="18" max="18" width="13.875" style="1" bestFit="1" customWidth="1"/>
    <col min="19" max="16384" width="9" style="1"/>
  </cols>
  <sheetData>
    <row r="1" spans="1:18" ht="16.5" customHeight="1">
      <c r="B1" s="7" t="s">
        <v>1576</v>
      </c>
      <c r="C1" s="21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 t="s">
        <v>890</v>
      </c>
    </row>
    <row r="2" spans="1:18" ht="13.5" customHeight="1">
      <c r="A2" s="15"/>
      <c r="B2" s="502" t="s">
        <v>1577</v>
      </c>
      <c r="C2" s="502" t="s">
        <v>1578</v>
      </c>
      <c r="D2" s="502"/>
      <c r="E2" s="232" t="s">
        <v>3</v>
      </c>
      <c r="F2" s="232" t="s">
        <v>4</v>
      </c>
      <c r="G2" s="232" t="s">
        <v>5</v>
      </c>
      <c r="H2" s="232" t="s">
        <v>6</v>
      </c>
      <c r="I2" s="232" t="s">
        <v>7</v>
      </c>
      <c r="J2" s="232" t="s">
        <v>8</v>
      </c>
      <c r="K2" s="232" t="s">
        <v>9</v>
      </c>
      <c r="L2" s="232" t="s">
        <v>10</v>
      </c>
      <c r="M2" s="232" t="s">
        <v>11</v>
      </c>
      <c r="N2" s="232" t="s">
        <v>12</v>
      </c>
      <c r="O2" s="232" t="s">
        <v>15</v>
      </c>
      <c r="P2" s="232" t="s">
        <v>16</v>
      </c>
      <c r="Q2" s="232" t="s">
        <v>2</v>
      </c>
      <c r="R2" s="9"/>
    </row>
    <row r="3" spans="1:18" ht="13.5" customHeight="1">
      <c r="A3" s="15"/>
      <c r="B3" s="513"/>
      <c r="C3" s="502" t="s">
        <v>1579</v>
      </c>
      <c r="D3" s="502"/>
      <c r="E3" s="233">
        <v>150000000</v>
      </c>
      <c r="F3" s="233">
        <v>250000000</v>
      </c>
      <c r="G3" s="233">
        <v>250000000</v>
      </c>
      <c r="H3" s="233">
        <v>250000000</v>
      </c>
      <c r="I3" s="233">
        <v>250000000</v>
      </c>
      <c r="J3" s="233">
        <v>300000000</v>
      </c>
      <c r="K3" s="233">
        <v>900000000</v>
      </c>
      <c r="L3" s="233">
        <v>250000000</v>
      </c>
      <c r="M3" s="233">
        <v>250000000</v>
      </c>
      <c r="N3" s="233">
        <v>150000000</v>
      </c>
      <c r="O3" s="233">
        <v>50000000</v>
      </c>
      <c r="P3" s="233">
        <v>200000000</v>
      </c>
      <c r="Q3" s="238">
        <v>3000000000</v>
      </c>
      <c r="R3" s="9"/>
    </row>
    <row r="4" spans="1:18" ht="13.5" customHeight="1">
      <c r="A4" s="15"/>
      <c r="B4" s="513"/>
      <c r="C4" s="52" t="s">
        <v>17</v>
      </c>
      <c r="D4" s="42">
        <v>5540226673</v>
      </c>
      <c r="E4" s="42">
        <f>D4+E3</f>
        <v>5690226673</v>
      </c>
      <c r="F4" s="42">
        <f t="shared" ref="F4:P4" si="0">E4+F3</f>
        <v>5940226673</v>
      </c>
      <c r="G4" s="42">
        <f t="shared" si="0"/>
        <v>6190226673</v>
      </c>
      <c r="H4" s="42">
        <f>G4+H3</f>
        <v>6440226673</v>
      </c>
      <c r="I4" s="42">
        <f t="shared" si="0"/>
        <v>6690226673</v>
      </c>
      <c r="J4" s="42">
        <f t="shared" si="0"/>
        <v>6990226673</v>
      </c>
      <c r="K4" s="42">
        <f t="shared" si="0"/>
        <v>7890226673</v>
      </c>
      <c r="L4" s="42">
        <f t="shared" si="0"/>
        <v>8140226673</v>
      </c>
      <c r="M4" s="42">
        <f t="shared" si="0"/>
        <v>8390226673</v>
      </c>
      <c r="N4" s="42">
        <f t="shared" si="0"/>
        <v>8540226673</v>
      </c>
      <c r="O4" s="42">
        <f t="shared" si="0"/>
        <v>8590226673</v>
      </c>
      <c r="P4" s="42">
        <f t="shared" si="0"/>
        <v>8790226673</v>
      </c>
      <c r="Q4" s="239">
        <f>SUM(E4:P4)</f>
        <v>88282720076</v>
      </c>
      <c r="R4" s="9"/>
    </row>
    <row r="5" spans="1:18" ht="13.5" customHeight="1">
      <c r="A5" s="15"/>
      <c r="B5" s="513"/>
      <c r="C5" s="52" t="s">
        <v>49</v>
      </c>
      <c r="D5" s="42">
        <v>42659745.382100001</v>
      </c>
      <c r="E5" s="42">
        <f>E4*0.77%</f>
        <v>43814745.382100001</v>
      </c>
      <c r="F5" s="42">
        <f t="shared" ref="F5:P5" si="1">F4*0.77%</f>
        <v>45739745.382100001</v>
      </c>
      <c r="G5" s="42">
        <f t="shared" si="1"/>
        <v>47664745.382100001</v>
      </c>
      <c r="H5" s="42">
        <f t="shared" si="1"/>
        <v>49589745.382100001</v>
      </c>
      <c r="I5" s="42">
        <f t="shared" si="1"/>
        <v>51514745.382100001</v>
      </c>
      <c r="J5" s="42">
        <f t="shared" si="1"/>
        <v>53824745.382100001</v>
      </c>
      <c r="K5" s="42">
        <f t="shared" si="1"/>
        <v>60754745.382100001</v>
      </c>
      <c r="L5" s="42">
        <f t="shared" si="1"/>
        <v>62679745.382100001</v>
      </c>
      <c r="M5" s="42">
        <f t="shared" si="1"/>
        <v>64604745.382100001</v>
      </c>
      <c r="N5" s="42">
        <f t="shared" si="1"/>
        <v>65759745.382100001</v>
      </c>
      <c r="O5" s="42">
        <f t="shared" si="1"/>
        <v>66144745.382100001</v>
      </c>
      <c r="P5" s="42">
        <f t="shared" si="1"/>
        <v>67684745.382100001</v>
      </c>
      <c r="Q5" s="239">
        <v>687861944.58519995</v>
      </c>
      <c r="R5" s="9"/>
    </row>
    <row r="6" spans="1:18" ht="13.5" customHeight="1">
      <c r="A6" s="15"/>
      <c r="B6" s="513"/>
      <c r="C6" s="52" t="s">
        <v>50</v>
      </c>
      <c r="D6" s="42">
        <v>22609665.052513003</v>
      </c>
      <c r="E6" s="42">
        <f>E5*53%</f>
        <v>23221815.052513003</v>
      </c>
      <c r="F6" s="42">
        <f t="shared" ref="F6:P6" si="2">F5*53%</f>
        <v>24242065.052513003</v>
      </c>
      <c r="G6" s="42">
        <f t="shared" si="2"/>
        <v>25262315.052513003</v>
      </c>
      <c r="H6" s="42">
        <f t="shared" si="2"/>
        <v>26282565.052513003</v>
      </c>
      <c r="I6" s="42">
        <f t="shared" si="2"/>
        <v>27302815.052513003</v>
      </c>
      <c r="J6" s="42">
        <f t="shared" si="2"/>
        <v>28527115.052513003</v>
      </c>
      <c r="K6" s="42">
        <f t="shared" si="2"/>
        <v>32200015.052513003</v>
      </c>
      <c r="L6" s="42">
        <f t="shared" si="2"/>
        <v>33220265.052513003</v>
      </c>
      <c r="M6" s="42">
        <f t="shared" si="2"/>
        <v>34240515.052513003</v>
      </c>
      <c r="N6" s="42">
        <f t="shared" si="2"/>
        <v>34852665.052513003</v>
      </c>
      <c r="O6" s="42">
        <f t="shared" si="2"/>
        <v>35056715.052513003</v>
      </c>
      <c r="P6" s="42">
        <f t="shared" si="2"/>
        <v>35872915.052513003</v>
      </c>
      <c r="Q6" s="239">
        <f>SUM(E6:P6)</f>
        <v>360281780.63015604</v>
      </c>
      <c r="R6" s="9"/>
    </row>
    <row r="7" spans="1:18" ht="13.5" customHeight="1">
      <c r="A7" s="15"/>
      <c r="B7" s="513"/>
      <c r="C7" s="52" t="s">
        <v>51</v>
      </c>
      <c r="D7" s="42">
        <v>20050080.329586998</v>
      </c>
      <c r="E7" s="43">
        <f>E5-E6</f>
        <v>20592930.329586998</v>
      </c>
      <c r="F7" s="43">
        <f t="shared" ref="F7:P7" si="3">F5-F6</f>
        <v>21497680.329586998</v>
      </c>
      <c r="G7" s="43">
        <f t="shared" si="3"/>
        <v>22402430.329586998</v>
      </c>
      <c r="H7" s="43">
        <f t="shared" si="3"/>
        <v>23307180.329586998</v>
      </c>
      <c r="I7" s="43">
        <f t="shared" si="3"/>
        <v>24211930.329586998</v>
      </c>
      <c r="J7" s="43">
        <f t="shared" si="3"/>
        <v>25297630.329586998</v>
      </c>
      <c r="K7" s="43">
        <f t="shared" si="3"/>
        <v>28554730.329586998</v>
      </c>
      <c r="L7" s="43">
        <f t="shared" si="3"/>
        <v>29459480.329586998</v>
      </c>
      <c r="M7" s="43">
        <f t="shared" si="3"/>
        <v>30364230.329586998</v>
      </c>
      <c r="N7" s="43">
        <f t="shared" si="3"/>
        <v>30907080.329586998</v>
      </c>
      <c r="O7" s="43">
        <f t="shared" si="3"/>
        <v>31088030.329586998</v>
      </c>
      <c r="P7" s="43">
        <f t="shared" si="3"/>
        <v>31811830.329586998</v>
      </c>
      <c r="Q7" s="240">
        <f>SUM(E7:P7)</f>
        <v>319495163.95504391</v>
      </c>
      <c r="R7" s="9"/>
    </row>
    <row r="8" spans="1:18" ht="13.5" customHeight="1">
      <c r="B8" s="220"/>
      <c r="C8" s="221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</row>
    <row r="9" spans="1:18" ht="13.5" customHeight="1">
      <c r="A9" s="15"/>
      <c r="B9" s="502" t="s">
        <v>1580</v>
      </c>
      <c r="C9" s="502" t="s">
        <v>1578</v>
      </c>
      <c r="D9" s="502"/>
      <c r="E9" s="232" t="s">
        <v>3</v>
      </c>
      <c r="F9" s="232" t="s">
        <v>4</v>
      </c>
      <c r="G9" s="232" t="s">
        <v>5</v>
      </c>
      <c r="H9" s="232" t="s">
        <v>6</v>
      </c>
      <c r="I9" s="232" t="s">
        <v>7</v>
      </c>
      <c r="J9" s="232" t="s">
        <v>8</v>
      </c>
      <c r="K9" s="232" t="s">
        <v>9</v>
      </c>
      <c r="L9" s="232" t="s">
        <v>10</v>
      </c>
      <c r="M9" s="232" t="s">
        <v>11</v>
      </c>
      <c r="N9" s="232" t="s">
        <v>12</v>
      </c>
      <c r="O9" s="232" t="s">
        <v>15</v>
      </c>
      <c r="P9" s="232" t="s">
        <v>16</v>
      </c>
      <c r="Q9" s="232" t="s">
        <v>2</v>
      </c>
      <c r="R9" s="9"/>
    </row>
    <row r="10" spans="1:18" ht="13.5" customHeight="1">
      <c r="A10" s="15"/>
      <c r="B10" s="513"/>
      <c r="C10" s="502" t="s">
        <v>1579</v>
      </c>
      <c r="D10" s="502"/>
      <c r="E10" s="233">
        <v>150000000</v>
      </c>
      <c r="F10" s="233">
        <v>250000000</v>
      </c>
      <c r="G10" s="233">
        <v>250000000</v>
      </c>
      <c r="H10" s="233">
        <v>250000000</v>
      </c>
      <c r="I10" s="233">
        <v>250000000</v>
      </c>
      <c r="J10" s="233">
        <v>300000000</v>
      </c>
      <c r="K10" s="233">
        <v>900000000</v>
      </c>
      <c r="L10" s="233">
        <v>250000000</v>
      </c>
      <c r="M10" s="233">
        <v>250000000</v>
      </c>
      <c r="N10" s="233">
        <v>150000000</v>
      </c>
      <c r="O10" s="233">
        <v>50000000</v>
      </c>
      <c r="P10" s="233">
        <v>200000000</v>
      </c>
      <c r="Q10" s="234">
        <v>3000000000</v>
      </c>
      <c r="R10" s="9"/>
    </row>
    <row r="11" spans="1:18" ht="13.5" customHeight="1">
      <c r="A11" s="15"/>
      <c r="B11" s="513"/>
      <c r="C11" s="52" t="s">
        <v>17</v>
      </c>
      <c r="D11" s="42">
        <v>5540226673</v>
      </c>
      <c r="E11" s="4">
        <f>E25-E24</f>
        <v>6060451913</v>
      </c>
      <c r="F11" s="4">
        <f t="shared" ref="F11:L11" si="4">F25-F24</f>
        <v>5726678424</v>
      </c>
      <c r="G11" s="4">
        <f t="shared" si="4"/>
        <v>6558338984</v>
      </c>
      <c r="H11" s="4">
        <f t="shared" si="4"/>
        <v>6839918792</v>
      </c>
      <c r="I11" s="4">
        <f t="shared" si="4"/>
        <v>6567003624</v>
      </c>
      <c r="J11" s="4">
        <f t="shared" si="4"/>
        <v>6330822979</v>
      </c>
      <c r="K11" s="4">
        <f t="shared" si="4"/>
        <v>7913840113</v>
      </c>
      <c r="L11" s="4">
        <f t="shared" si="4"/>
        <v>8531346228</v>
      </c>
      <c r="M11" s="42">
        <f t="shared" ref="M11:P11" si="5">L11+M10</f>
        <v>8781346228</v>
      </c>
      <c r="N11" s="42">
        <f t="shared" si="5"/>
        <v>8931346228</v>
      </c>
      <c r="O11" s="42">
        <f t="shared" si="5"/>
        <v>8981346228</v>
      </c>
      <c r="P11" s="42">
        <f t="shared" si="5"/>
        <v>9181346228</v>
      </c>
      <c r="Q11" s="235">
        <f>SUM(E11:P11)</f>
        <v>90403785969</v>
      </c>
      <c r="R11" s="9"/>
    </row>
    <row r="12" spans="1:18" ht="13.5" customHeight="1">
      <c r="A12" s="15"/>
      <c r="B12" s="513"/>
      <c r="C12" s="52" t="s">
        <v>49</v>
      </c>
      <c r="D12" s="42">
        <v>42659745.382100001</v>
      </c>
      <c r="E12" s="42">
        <f>E33-E31</f>
        <v>46649358</v>
      </c>
      <c r="F12" s="42">
        <f t="shared" ref="F12:L12" si="6">F33-F31</f>
        <v>44392889</v>
      </c>
      <c r="G12" s="42">
        <f t="shared" si="6"/>
        <v>48976023</v>
      </c>
      <c r="H12" s="42">
        <f t="shared" si="6"/>
        <v>50934182</v>
      </c>
      <c r="I12" s="42">
        <f t="shared" si="6"/>
        <v>50361625</v>
      </c>
      <c r="J12" s="42">
        <f t="shared" si="6"/>
        <v>49254817</v>
      </c>
      <c r="K12" s="42">
        <f t="shared" si="6"/>
        <v>61631771</v>
      </c>
      <c r="L12" s="42">
        <f t="shared" si="6"/>
        <v>64283165</v>
      </c>
      <c r="M12" s="42">
        <f t="shared" ref="M12:P12" si="7">M11*0.77%</f>
        <v>67616365.955600008</v>
      </c>
      <c r="N12" s="42">
        <f t="shared" si="7"/>
        <v>68771365.955600008</v>
      </c>
      <c r="O12" s="42">
        <f t="shared" si="7"/>
        <v>69156365.955600008</v>
      </c>
      <c r="P12" s="42">
        <f t="shared" si="7"/>
        <v>70696365.955600008</v>
      </c>
      <c r="Q12" s="235">
        <v>687861944.58519995</v>
      </c>
      <c r="R12" s="9"/>
    </row>
    <row r="13" spans="1:18" ht="13.5" customHeight="1">
      <c r="A13" s="15"/>
      <c r="B13" s="513"/>
      <c r="C13" s="52" t="s">
        <v>50</v>
      </c>
      <c r="D13" s="42">
        <v>22609665.052513003</v>
      </c>
      <c r="E13" s="42">
        <v>24136601</v>
      </c>
      <c r="F13" s="42">
        <v>22785430</v>
      </c>
      <c r="G13" s="42">
        <v>24556829</v>
      </c>
      <c r="H13" s="42">
        <v>25206435</v>
      </c>
      <c r="I13" s="42">
        <v>25268103</v>
      </c>
      <c r="J13" s="42">
        <v>25122109</v>
      </c>
      <c r="K13" s="42">
        <v>30925904</v>
      </c>
      <c r="L13" s="42">
        <v>31407947</v>
      </c>
      <c r="M13" s="42">
        <f t="shared" ref="M13:P13" si="8">M12*53%</f>
        <v>35836673.956468008</v>
      </c>
      <c r="N13" s="42">
        <f t="shared" si="8"/>
        <v>36448823.956468008</v>
      </c>
      <c r="O13" s="42">
        <f t="shared" si="8"/>
        <v>36652873.956468008</v>
      </c>
      <c r="P13" s="42">
        <f t="shared" si="8"/>
        <v>37469073.956468008</v>
      </c>
      <c r="Q13" s="235">
        <f>SUM(E13:P13)</f>
        <v>355816803.825872</v>
      </c>
      <c r="R13" s="9"/>
    </row>
    <row r="14" spans="1:18" ht="13.5" customHeight="1">
      <c r="A14" s="15"/>
      <c r="B14" s="513"/>
      <c r="C14" s="52" t="s">
        <v>51</v>
      </c>
      <c r="D14" s="42">
        <v>20050080.329586998</v>
      </c>
      <c r="E14" s="43">
        <f>E12-E13</f>
        <v>22512757</v>
      </c>
      <c r="F14" s="43">
        <f t="shared" ref="F14:P14" si="9">F12-F13</f>
        <v>21607459</v>
      </c>
      <c r="G14" s="43">
        <f t="shared" si="9"/>
        <v>24419194</v>
      </c>
      <c r="H14" s="43">
        <f t="shared" si="9"/>
        <v>25727747</v>
      </c>
      <c r="I14" s="43">
        <f t="shared" si="9"/>
        <v>25093522</v>
      </c>
      <c r="J14" s="43">
        <f t="shared" si="9"/>
        <v>24132708</v>
      </c>
      <c r="K14" s="43">
        <f t="shared" si="9"/>
        <v>30705867</v>
      </c>
      <c r="L14" s="43">
        <f t="shared" si="9"/>
        <v>32875218</v>
      </c>
      <c r="M14" s="43">
        <f t="shared" si="9"/>
        <v>31779691.999132</v>
      </c>
      <c r="N14" s="43">
        <f t="shared" si="9"/>
        <v>32322541.999132</v>
      </c>
      <c r="O14" s="43">
        <f t="shared" si="9"/>
        <v>32503491.999132</v>
      </c>
      <c r="P14" s="43">
        <f t="shared" si="9"/>
        <v>33227291.999132</v>
      </c>
      <c r="Q14" s="237">
        <f>SUM(E14:P14)</f>
        <v>336907489.99652797</v>
      </c>
      <c r="R14" s="9"/>
    </row>
    <row r="15" spans="1:18" ht="13.5" customHeight="1">
      <c r="B15" s="11"/>
      <c r="C15" s="222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8" ht="25.5" customHeight="1">
      <c r="B16" s="7" t="s">
        <v>1591</v>
      </c>
      <c r="C16" s="21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 t="s">
        <v>890</v>
      </c>
    </row>
    <row r="17" spans="1:18" ht="15.95" customHeight="1">
      <c r="A17" s="15"/>
      <c r="B17" s="513" t="s">
        <v>1574</v>
      </c>
      <c r="C17" s="513" t="s">
        <v>118</v>
      </c>
      <c r="D17" s="513"/>
      <c r="E17" s="513" t="s">
        <v>53</v>
      </c>
      <c r="F17" s="513"/>
      <c r="G17" s="513"/>
      <c r="H17" s="513" t="s">
        <v>25</v>
      </c>
      <c r="I17" s="513"/>
      <c r="J17" s="513"/>
      <c r="K17" s="513" t="s">
        <v>28</v>
      </c>
      <c r="L17" s="513"/>
      <c r="M17" s="513"/>
      <c r="N17" s="513" t="s">
        <v>76</v>
      </c>
      <c r="O17" s="513"/>
      <c r="P17" s="513"/>
      <c r="Q17" s="513" t="s">
        <v>31</v>
      </c>
      <c r="R17" s="9"/>
    </row>
    <row r="18" spans="1:18" ht="15.95" customHeight="1">
      <c r="A18" s="15"/>
      <c r="B18" s="513"/>
      <c r="C18" s="513"/>
      <c r="D18" s="513"/>
      <c r="E18" s="217" t="s">
        <v>3</v>
      </c>
      <c r="F18" s="217" t="s">
        <v>4</v>
      </c>
      <c r="G18" s="217" t="s">
        <v>5</v>
      </c>
      <c r="H18" s="217" t="s">
        <v>6</v>
      </c>
      <c r="I18" s="217" t="s">
        <v>7</v>
      </c>
      <c r="J18" s="217" t="s">
        <v>8</v>
      </c>
      <c r="K18" s="217" t="s">
        <v>9</v>
      </c>
      <c r="L18" s="217" t="s">
        <v>10</v>
      </c>
      <c r="M18" s="217" t="s">
        <v>11</v>
      </c>
      <c r="N18" s="217" t="s">
        <v>12</v>
      </c>
      <c r="O18" s="217" t="s">
        <v>15</v>
      </c>
      <c r="P18" s="217" t="s">
        <v>16</v>
      </c>
      <c r="Q18" s="513"/>
      <c r="R18" s="9"/>
    </row>
    <row r="19" spans="1:18" ht="15.95" customHeight="1">
      <c r="A19" s="15"/>
      <c r="B19" s="513"/>
      <c r="C19" s="513" t="s">
        <v>116</v>
      </c>
      <c r="D19" s="104" t="s">
        <v>119</v>
      </c>
      <c r="E19" s="4">
        <v>3312763340</v>
      </c>
      <c r="F19" s="4">
        <v>3010833444</v>
      </c>
      <c r="G19" s="4">
        <v>3240008348</v>
      </c>
      <c r="H19" s="4">
        <v>3186827001</v>
      </c>
      <c r="I19" s="4">
        <v>3224933250</v>
      </c>
      <c r="J19" s="44">
        <v>3155902861</v>
      </c>
      <c r="K19" s="4">
        <v>3859664119</v>
      </c>
      <c r="L19" s="4">
        <v>3950507798</v>
      </c>
      <c r="M19" s="20">
        <v>3704671417</v>
      </c>
      <c r="N19" s="4">
        <v>3681777892</v>
      </c>
      <c r="O19" s="20">
        <v>3576191094</v>
      </c>
      <c r="P19" s="4">
        <v>4171716021</v>
      </c>
      <c r="Q19" s="4">
        <f>SUM(E19:P19)</f>
        <v>42075796585</v>
      </c>
      <c r="R19" s="9"/>
    </row>
    <row r="20" spans="1:18" ht="15.95" customHeight="1">
      <c r="A20" s="15"/>
      <c r="B20" s="513"/>
      <c r="C20" s="513"/>
      <c r="D20" s="104" t="s">
        <v>120</v>
      </c>
      <c r="E20" s="4">
        <v>1249109568</v>
      </c>
      <c r="F20" s="4">
        <v>1393467319</v>
      </c>
      <c r="G20" s="4">
        <v>1755085525</v>
      </c>
      <c r="H20" s="4">
        <v>1904109139</v>
      </c>
      <c r="I20" s="4">
        <v>1721262652</v>
      </c>
      <c r="J20" s="45">
        <v>1678784340</v>
      </c>
      <c r="K20" s="4">
        <v>2230562526</v>
      </c>
      <c r="L20" s="4">
        <v>2878438164</v>
      </c>
      <c r="M20" s="20">
        <v>3460984922</v>
      </c>
      <c r="N20" s="4">
        <v>3229691957</v>
      </c>
      <c r="O20" s="20">
        <v>3535851768</v>
      </c>
      <c r="P20" s="4">
        <v>3657907125</v>
      </c>
      <c r="Q20" s="4">
        <f t="shared" ref="Q20:Q37" si="10">SUM(E20:P20)</f>
        <v>28695255005</v>
      </c>
      <c r="R20" s="9"/>
    </row>
    <row r="21" spans="1:18" ht="15.95" customHeight="1">
      <c r="A21" s="15"/>
      <c r="B21" s="513"/>
      <c r="C21" s="513"/>
      <c r="D21" s="104" t="s">
        <v>121</v>
      </c>
      <c r="E21" s="4">
        <v>504538500</v>
      </c>
      <c r="F21" s="4">
        <v>525595600</v>
      </c>
      <c r="G21" s="4">
        <v>544440200</v>
      </c>
      <c r="H21" s="4">
        <v>620219800</v>
      </c>
      <c r="I21" s="4">
        <v>573780900</v>
      </c>
      <c r="J21" s="4">
        <v>667826900</v>
      </c>
      <c r="K21" s="4">
        <v>668086500</v>
      </c>
      <c r="L21" s="4">
        <v>762091200</v>
      </c>
      <c r="M21" s="20">
        <v>748639200</v>
      </c>
      <c r="N21" s="4">
        <v>519211800</v>
      </c>
      <c r="O21" s="20">
        <v>829020800</v>
      </c>
      <c r="P21" s="4">
        <v>788623500</v>
      </c>
      <c r="Q21" s="4">
        <f t="shared" si="10"/>
        <v>7752074900</v>
      </c>
      <c r="R21" s="9"/>
    </row>
    <row r="22" spans="1:18" ht="15.95" customHeight="1">
      <c r="A22" s="15"/>
      <c r="B22" s="513"/>
      <c r="C22" s="513"/>
      <c r="D22" s="104" t="s">
        <v>122</v>
      </c>
      <c r="E22" s="4">
        <v>4831200</v>
      </c>
      <c r="F22" s="4">
        <v>5115200</v>
      </c>
      <c r="G22" s="4">
        <v>4650600</v>
      </c>
      <c r="H22" s="4">
        <v>4789300</v>
      </c>
      <c r="I22" s="4">
        <v>4283000</v>
      </c>
      <c r="J22" s="4">
        <v>4852200</v>
      </c>
      <c r="K22" s="4">
        <v>6286000</v>
      </c>
      <c r="L22" s="4">
        <v>4797900</v>
      </c>
      <c r="M22" s="20">
        <v>5295800</v>
      </c>
      <c r="N22" s="4">
        <v>3987800</v>
      </c>
      <c r="O22" s="20">
        <v>4436600</v>
      </c>
      <c r="P22" s="4">
        <v>4321500</v>
      </c>
      <c r="Q22" s="4">
        <f t="shared" si="10"/>
        <v>57647100</v>
      </c>
      <c r="R22" s="9"/>
    </row>
    <row r="23" spans="1:18" ht="15.95" customHeight="1">
      <c r="A23" s="15"/>
      <c r="B23" s="513"/>
      <c r="C23" s="513"/>
      <c r="D23" s="104" t="s">
        <v>123</v>
      </c>
      <c r="E23" s="4">
        <v>989209305</v>
      </c>
      <c r="F23" s="4">
        <v>791666861</v>
      </c>
      <c r="G23" s="4">
        <v>1014154311</v>
      </c>
      <c r="H23" s="4">
        <v>1123973552</v>
      </c>
      <c r="I23" s="4">
        <v>1042743822</v>
      </c>
      <c r="J23" s="4">
        <v>823456678</v>
      </c>
      <c r="K23" s="4">
        <v>1149240968</v>
      </c>
      <c r="L23" s="4">
        <v>935511166</v>
      </c>
      <c r="M23" s="20">
        <v>815781252</v>
      </c>
      <c r="N23" s="4">
        <v>1220304085</v>
      </c>
      <c r="O23" s="20">
        <v>1066503020</v>
      </c>
      <c r="P23" s="4">
        <v>987034564</v>
      </c>
      <c r="Q23" s="4">
        <f t="shared" si="10"/>
        <v>11959579584</v>
      </c>
      <c r="R23" s="9"/>
    </row>
    <row r="24" spans="1:18" ht="15.95" customHeight="1">
      <c r="A24" s="15"/>
      <c r="B24" s="513"/>
      <c r="C24" s="513"/>
      <c r="D24" s="46" t="s">
        <v>124</v>
      </c>
      <c r="E24" s="17">
        <v>47460300</v>
      </c>
      <c r="F24" s="17">
        <v>56494500</v>
      </c>
      <c r="G24" s="17">
        <v>94613400</v>
      </c>
      <c r="H24" s="4">
        <v>75177740</v>
      </c>
      <c r="I24" s="4">
        <v>77909600</v>
      </c>
      <c r="J24" s="4"/>
      <c r="K24" s="4"/>
      <c r="L24" s="4"/>
      <c r="M24" s="20"/>
      <c r="N24" s="4"/>
      <c r="O24" s="20"/>
      <c r="P24" s="4">
        <v>591141886</v>
      </c>
      <c r="Q24" s="4">
        <f t="shared" si="10"/>
        <v>942797426</v>
      </c>
      <c r="R24" s="9"/>
    </row>
    <row r="25" spans="1:18" ht="15.95" customHeight="1">
      <c r="A25" s="15"/>
      <c r="B25" s="513"/>
      <c r="C25" s="513"/>
      <c r="D25" s="217" t="s">
        <v>31</v>
      </c>
      <c r="E25" s="53">
        <f>SUM(E19:E24)</f>
        <v>6107912213</v>
      </c>
      <c r="F25" s="53">
        <f>SUM(F19:F24)</f>
        <v>5783172924</v>
      </c>
      <c r="G25" s="53">
        <f t="shared" ref="G25:P25" si="11">SUM(G19:G24)</f>
        <v>6652952384</v>
      </c>
      <c r="H25" s="53">
        <f t="shared" si="11"/>
        <v>6915096532</v>
      </c>
      <c r="I25" s="53">
        <f>SUM(I19:I24)</f>
        <v>6644913224</v>
      </c>
      <c r="J25" s="53">
        <f>SUM(J19:J24)</f>
        <v>6330822979</v>
      </c>
      <c r="K25" s="53">
        <f>SUM(K19:K24)</f>
        <v>7913840113</v>
      </c>
      <c r="L25" s="53">
        <f t="shared" ref="L25" si="12">SUM(L19:L24)</f>
        <v>8531346228</v>
      </c>
      <c r="M25" s="54">
        <f t="shared" ref="M25:N25" si="13">SUM(M19:M24)</f>
        <v>8735372591</v>
      </c>
      <c r="N25" s="54">
        <f t="shared" si="13"/>
        <v>8654973534</v>
      </c>
      <c r="O25" s="54">
        <f t="shared" si="11"/>
        <v>9012003282</v>
      </c>
      <c r="P25" s="54">
        <f t="shared" si="11"/>
        <v>10200744596</v>
      </c>
      <c r="Q25" s="53">
        <f t="shared" si="10"/>
        <v>91483150600</v>
      </c>
      <c r="R25" s="375"/>
    </row>
    <row r="26" spans="1:18" ht="15.95" customHeight="1">
      <c r="A26" s="15"/>
      <c r="B26" s="513"/>
      <c r="C26" s="513" t="s">
        <v>125</v>
      </c>
      <c r="D26" s="104" t="s">
        <v>126</v>
      </c>
      <c r="E26" s="4">
        <v>31132644</v>
      </c>
      <c r="F26" s="45">
        <v>28220209</v>
      </c>
      <c r="G26" s="4">
        <v>30196763</v>
      </c>
      <c r="H26" s="4">
        <v>29894974</v>
      </c>
      <c r="I26" s="4">
        <v>30472518</v>
      </c>
      <c r="J26" s="44">
        <v>29770450</v>
      </c>
      <c r="K26" s="4">
        <v>36594438</v>
      </c>
      <c r="L26" s="4">
        <v>37692307</v>
      </c>
      <c r="M26" s="20">
        <v>34919888</v>
      </c>
      <c r="N26" s="4">
        <v>34867206</v>
      </c>
      <c r="O26" s="20">
        <v>33725551</v>
      </c>
      <c r="P26" s="4">
        <v>39662685</v>
      </c>
      <c r="Q26" s="4">
        <f t="shared" si="10"/>
        <v>397149633</v>
      </c>
      <c r="R26" s="9"/>
    </row>
    <row r="27" spans="1:18" ht="15.95" customHeight="1">
      <c r="A27" s="15"/>
      <c r="B27" s="513"/>
      <c r="C27" s="513"/>
      <c r="D27" s="104" t="s">
        <v>127</v>
      </c>
      <c r="E27" s="4">
        <v>9259475</v>
      </c>
      <c r="F27" s="4">
        <v>10503913</v>
      </c>
      <c r="G27" s="4">
        <v>11933622</v>
      </c>
      <c r="H27" s="4">
        <v>13372362</v>
      </c>
      <c r="I27" s="4">
        <v>12786534</v>
      </c>
      <c r="J27" s="44">
        <v>12780033</v>
      </c>
      <c r="K27" s="4">
        <v>17010846</v>
      </c>
      <c r="L27" s="4">
        <v>18966145</v>
      </c>
      <c r="M27" s="20">
        <v>23525925</v>
      </c>
      <c r="N27" s="4">
        <v>21351072</v>
      </c>
      <c r="O27" s="20">
        <v>23239010</v>
      </c>
      <c r="P27" s="4">
        <v>25504421</v>
      </c>
      <c r="Q27" s="4">
        <f t="shared" si="10"/>
        <v>200233358</v>
      </c>
      <c r="R27" s="9"/>
    </row>
    <row r="28" spans="1:18" ht="15.95" customHeight="1">
      <c r="A28" s="15"/>
      <c r="B28" s="513"/>
      <c r="C28" s="513"/>
      <c r="D28" s="104" t="s">
        <v>128</v>
      </c>
      <c r="E28" s="4">
        <v>2531244</v>
      </c>
      <c r="F28" s="4">
        <v>2636886</v>
      </c>
      <c r="G28" s="4">
        <v>2731428</v>
      </c>
      <c r="H28" s="4">
        <v>3111611</v>
      </c>
      <c r="I28" s="4">
        <v>2878629</v>
      </c>
      <c r="J28" s="3">
        <v>3350453</v>
      </c>
      <c r="K28" s="4">
        <v>3351756</v>
      </c>
      <c r="L28" s="4">
        <v>3823372</v>
      </c>
      <c r="M28" s="20">
        <v>3755884</v>
      </c>
      <c r="N28" s="4">
        <v>2604859</v>
      </c>
      <c r="O28" s="20">
        <v>4159155</v>
      </c>
      <c r="P28" s="4">
        <v>3956484</v>
      </c>
      <c r="Q28" s="4">
        <f t="shared" si="10"/>
        <v>38891761</v>
      </c>
      <c r="R28" s="9"/>
    </row>
    <row r="29" spans="1:18" ht="15.95" customHeight="1">
      <c r="A29" s="15"/>
      <c r="B29" s="513"/>
      <c r="C29" s="513"/>
      <c r="D29" s="104" t="s">
        <v>129</v>
      </c>
      <c r="E29" s="4">
        <v>60076</v>
      </c>
      <c r="F29" s="4">
        <v>63611</v>
      </c>
      <c r="G29" s="4">
        <v>57714</v>
      </c>
      <c r="H29" s="4">
        <v>59474</v>
      </c>
      <c r="I29" s="4">
        <v>53090</v>
      </c>
      <c r="J29" s="3">
        <v>60183</v>
      </c>
      <c r="K29" s="4">
        <v>77897</v>
      </c>
      <c r="L29" s="4">
        <v>59424</v>
      </c>
      <c r="M29" s="20">
        <v>65729</v>
      </c>
      <c r="N29" s="4">
        <v>49489</v>
      </c>
      <c r="O29" s="20">
        <v>55053</v>
      </c>
      <c r="P29" s="4">
        <v>53696</v>
      </c>
      <c r="Q29" s="4">
        <f t="shared" si="10"/>
        <v>715436</v>
      </c>
      <c r="R29" s="9"/>
    </row>
    <row r="30" spans="1:18" ht="15.95" customHeight="1">
      <c r="A30" s="15"/>
      <c r="B30" s="513"/>
      <c r="C30" s="513"/>
      <c r="D30" s="104" t="s">
        <v>130</v>
      </c>
      <c r="E30" s="4">
        <v>3665919</v>
      </c>
      <c r="F30" s="4">
        <v>2968270</v>
      </c>
      <c r="G30" s="4">
        <v>4056496</v>
      </c>
      <c r="H30" s="4">
        <v>4495761</v>
      </c>
      <c r="I30" s="4">
        <v>4170854</v>
      </c>
      <c r="J30" s="3">
        <v>3293698</v>
      </c>
      <c r="K30" s="4">
        <v>4596834</v>
      </c>
      <c r="L30" s="4">
        <v>3741917</v>
      </c>
      <c r="M30" s="20">
        <v>3263001</v>
      </c>
      <c r="N30" s="4">
        <v>4881086</v>
      </c>
      <c r="O30" s="20">
        <v>4265870</v>
      </c>
      <c r="P30" s="4">
        <v>3948054</v>
      </c>
      <c r="Q30" s="4">
        <f t="shared" si="10"/>
        <v>47347760</v>
      </c>
      <c r="R30" s="9"/>
    </row>
    <row r="31" spans="1:18" ht="15.95" customHeight="1">
      <c r="A31" s="15"/>
      <c r="B31" s="513"/>
      <c r="C31" s="513"/>
      <c r="D31" s="46" t="s">
        <v>131</v>
      </c>
      <c r="E31" s="17">
        <v>325682.43181818066</v>
      </c>
      <c r="F31" s="16">
        <v>352486</v>
      </c>
      <c r="G31" s="16">
        <v>612008</v>
      </c>
      <c r="H31" s="4">
        <v>583412</v>
      </c>
      <c r="I31" s="4">
        <v>542660.98295454565</v>
      </c>
      <c r="J31" s="4">
        <v>381979.4090909083</v>
      </c>
      <c r="K31" s="4"/>
      <c r="L31" s="4"/>
      <c r="M31" s="20"/>
      <c r="N31" s="4"/>
      <c r="O31" s="20"/>
      <c r="P31" s="4">
        <v>1501750.7426136362</v>
      </c>
      <c r="Q31" s="4">
        <f t="shared" si="10"/>
        <v>4299979.5664772708</v>
      </c>
      <c r="R31" s="9"/>
    </row>
    <row r="32" spans="1:18" ht="15.95" customHeight="1">
      <c r="A32" s="15"/>
      <c r="B32" s="513"/>
      <c r="C32" s="513"/>
      <c r="D32" s="46" t="s">
        <v>1891</v>
      </c>
      <c r="E32" s="17"/>
      <c r="F32" s="16"/>
      <c r="G32" s="16"/>
      <c r="H32" s="4"/>
      <c r="I32" s="4"/>
      <c r="J32" s="4"/>
      <c r="K32" s="4"/>
      <c r="L32" s="4"/>
      <c r="M32" s="20"/>
      <c r="N32" s="4">
        <v>1190909</v>
      </c>
      <c r="O32" s="20">
        <v>400000</v>
      </c>
      <c r="P32" s="4">
        <v>800000</v>
      </c>
      <c r="Q32" s="4">
        <f>SUM(E32:P32)</f>
        <v>2390909</v>
      </c>
      <c r="R32" s="9"/>
    </row>
    <row r="33" spans="1:18" ht="15.95" customHeight="1">
      <c r="A33" s="15"/>
      <c r="B33" s="513"/>
      <c r="C33" s="513"/>
      <c r="D33" s="217" t="s">
        <v>31</v>
      </c>
      <c r="E33" s="53">
        <f>SUM(E26:E31)</f>
        <v>46975040.43181818</v>
      </c>
      <c r="F33" s="53">
        <f t="shared" ref="F33:H33" si="14">SUM(F26:F31)</f>
        <v>44745375</v>
      </c>
      <c r="G33" s="53">
        <f t="shared" si="14"/>
        <v>49588031</v>
      </c>
      <c r="H33" s="53">
        <f t="shared" si="14"/>
        <v>51517594</v>
      </c>
      <c r="I33" s="53">
        <f>SUM(I26:I31)</f>
        <v>50904285.982954547</v>
      </c>
      <c r="J33" s="53">
        <f>SUM(J26:J31)</f>
        <v>49636796.409090906</v>
      </c>
      <c r="K33" s="53">
        <f>SUM(K26:K31)</f>
        <v>61631771</v>
      </c>
      <c r="L33" s="53">
        <f t="shared" ref="L33" si="15">SUM(L26:L31)</f>
        <v>64283165</v>
      </c>
      <c r="M33" s="54">
        <f>SUM(M26:M31)</f>
        <v>65530427</v>
      </c>
      <c r="N33" s="54">
        <f>SUM(N26:N32)</f>
        <v>64944621</v>
      </c>
      <c r="O33" s="54">
        <f>SUM(O26:O32)</f>
        <v>65844639</v>
      </c>
      <c r="P33" s="54">
        <f>SUM(P26:P32)</f>
        <v>75427090.742613643</v>
      </c>
      <c r="Q33" s="53">
        <f t="shared" si="10"/>
        <v>691028836.5664773</v>
      </c>
      <c r="R33" s="9"/>
    </row>
    <row r="34" spans="1:18" ht="15.95" customHeight="1">
      <c r="A34" s="15"/>
      <c r="B34" s="513"/>
      <c r="C34" s="513" t="s">
        <v>132</v>
      </c>
      <c r="D34" s="104" t="s">
        <v>133</v>
      </c>
      <c r="E34" s="4">
        <v>1513615</v>
      </c>
      <c r="F34" s="4">
        <v>1576786</v>
      </c>
      <c r="G34" s="4">
        <v>1633320</v>
      </c>
      <c r="H34" s="4">
        <v>1860659</v>
      </c>
      <c r="I34" s="4">
        <v>1721342</v>
      </c>
      <c r="J34" s="3">
        <v>2003480</v>
      </c>
      <c r="K34" s="4">
        <v>2004259</v>
      </c>
      <c r="L34" s="4">
        <v>2286273</v>
      </c>
      <c r="M34" s="20">
        <v>2245917</v>
      </c>
      <c r="N34" s="4">
        <v>1557635</v>
      </c>
      <c r="O34" s="20">
        <v>2487062</v>
      </c>
      <c r="P34" s="4">
        <v>2365870</v>
      </c>
      <c r="Q34" s="4">
        <f t="shared" si="10"/>
        <v>23256218</v>
      </c>
      <c r="R34" s="9"/>
    </row>
    <row r="35" spans="1:18" ht="15.95" customHeight="1">
      <c r="A35" s="15"/>
      <c r="B35" s="513"/>
      <c r="C35" s="513"/>
      <c r="D35" s="104" t="s">
        <v>134</v>
      </c>
      <c r="E35" s="4">
        <v>22616499</v>
      </c>
      <c r="F35" s="4">
        <v>21205280</v>
      </c>
      <c r="G35" s="4">
        <v>22695830</v>
      </c>
      <c r="H35" s="4">
        <v>23106406</v>
      </c>
      <c r="I35" s="4">
        <v>23370982</v>
      </c>
      <c r="J35" s="3">
        <v>23010164</v>
      </c>
      <c r="K35" s="4">
        <v>28912087</v>
      </c>
      <c r="L35" s="4">
        <v>29073296</v>
      </c>
      <c r="M35" s="20">
        <v>29505845</v>
      </c>
      <c r="N35" s="4">
        <v>28215661</v>
      </c>
      <c r="O35" s="20">
        <v>28208390</v>
      </c>
      <c r="P35" s="4">
        <v>32717465</v>
      </c>
      <c r="Q35" s="4">
        <f t="shared" si="10"/>
        <v>312637905</v>
      </c>
      <c r="R35" s="9"/>
    </row>
    <row r="36" spans="1:18" ht="15.95" customHeight="1">
      <c r="A36" s="15"/>
      <c r="B36" s="513"/>
      <c r="C36" s="513"/>
      <c r="D36" s="104" t="s">
        <v>135</v>
      </c>
      <c r="E36" s="4">
        <v>6487</v>
      </c>
      <c r="F36" s="4">
        <v>3364</v>
      </c>
      <c r="G36" s="4">
        <v>227679</v>
      </c>
      <c r="H36" s="4">
        <v>239370</v>
      </c>
      <c r="I36" s="4">
        <v>175779</v>
      </c>
      <c r="J36" s="4">
        <v>108465</v>
      </c>
      <c r="K36" s="4">
        <v>9558</v>
      </c>
      <c r="L36" s="4">
        <v>48378</v>
      </c>
      <c r="M36" s="20">
        <v>223759</v>
      </c>
      <c r="N36" s="4">
        <v>165480</v>
      </c>
      <c r="O36" s="20">
        <v>192495</v>
      </c>
      <c r="P36" s="4">
        <v>80437</v>
      </c>
      <c r="Q36" s="4">
        <f t="shared" si="10"/>
        <v>1481251</v>
      </c>
      <c r="R36" s="9"/>
    </row>
    <row r="37" spans="1:18" ht="15.95" customHeight="1">
      <c r="A37" s="15"/>
      <c r="B37" s="513"/>
      <c r="C37" s="513"/>
      <c r="D37" s="217" t="s">
        <v>31</v>
      </c>
      <c r="E37" s="53">
        <f t="shared" ref="E37:L37" si="16">SUM(E34:E36)</f>
        <v>24136601</v>
      </c>
      <c r="F37" s="53">
        <f t="shared" si="16"/>
        <v>22785430</v>
      </c>
      <c r="G37" s="53">
        <f t="shared" si="16"/>
        <v>24556829</v>
      </c>
      <c r="H37" s="53">
        <f t="shared" si="16"/>
        <v>25206435</v>
      </c>
      <c r="I37" s="53">
        <f t="shared" si="16"/>
        <v>25268103</v>
      </c>
      <c r="J37" s="53">
        <f t="shared" si="16"/>
        <v>25122109</v>
      </c>
      <c r="K37" s="53">
        <f t="shared" si="16"/>
        <v>30925904</v>
      </c>
      <c r="L37" s="53">
        <f t="shared" si="16"/>
        <v>31407947</v>
      </c>
      <c r="M37" s="54">
        <f t="shared" ref="M37:P37" si="17">SUM(M34:M36)</f>
        <v>31975521</v>
      </c>
      <c r="N37" s="53">
        <f t="shared" si="17"/>
        <v>29938776</v>
      </c>
      <c r="O37" s="53">
        <f t="shared" si="17"/>
        <v>30887947</v>
      </c>
      <c r="P37" s="53">
        <f t="shared" si="17"/>
        <v>35163772</v>
      </c>
      <c r="Q37" s="53">
        <f t="shared" si="10"/>
        <v>337375374</v>
      </c>
      <c r="R37" s="9"/>
    </row>
    <row r="38" spans="1:18" ht="15.95" customHeight="1">
      <c r="A38" s="15"/>
      <c r="B38" s="513"/>
      <c r="C38" s="513" t="s">
        <v>136</v>
      </c>
      <c r="D38" s="104" t="s">
        <v>137</v>
      </c>
      <c r="E38" s="16">
        <f>E26+E27+E28+E30+E29+-E34-E35-E36</f>
        <v>22512757</v>
      </c>
      <c r="F38" s="16">
        <f t="shared" ref="F38:K38" si="18">F26+F27+F28+F30+F29+-F34-F35-F36</f>
        <v>21607459</v>
      </c>
      <c r="G38" s="16">
        <f t="shared" si="18"/>
        <v>24419194</v>
      </c>
      <c r="H38" s="16">
        <v>25727747</v>
      </c>
      <c r="I38" s="16">
        <f t="shared" ref="I38:J38" si="19">I40-I31</f>
        <v>25093522</v>
      </c>
      <c r="J38" s="16">
        <f t="shared" si="19"/>
        <v>24132707.999999996</v>
      </c>
      <c r="K38" s="16">
        <f t="shared" si="18"/>
        <v>30705867</v>
      </c>
      <c r="L38" s="16">
        <f t="shared" ref="L38:N38" si="20">L40-L31</f>
        <v>32875218</v>
      </c>
      <c r="M38" s="16">
        <f t="shared" si="20"/>
        <v>33554906</v>
      </c>
      <c r="N38" s="16">
        <f t="shared" si="20"/>
        <v>35005845</v>
      </c>
      <c r="O38" s="16">
        <f>O33-O37</f>
        <v>34956692</v>
      </c>
      <c r="P38" s="16">
        <f>P33-P37-P31</f>
        <v>38761568.000000007</v>
      </c>
      <c r="Q38" s="16">
        <f>SUM(E38:P38)</f>
        <v>349353483</v>
      </c>
      <c r="R38" s="9"/>
    </row>
    <row r="39" spans="1:18" ht="15.95" customHeight="1">
      <c r="A39" s="15"/>
      <c r="B39" s="513"/>
      <c r="C39" s="513"/>
      <c r="D39" s="104" t="s">
        <v>117</v>
      </c>
      <c r="E39" s="16">
        <f t="shared" ref="E39:N39" si="21">E31</f>
        <v>325682.43181818066</v>
      </c>
      <c r="F39" s="16">
        <v>352486</v>
      </c>
      <c r="G39" s="16">
        <v>612008</v>
      </c>
      <c r="H39" s="16">
        <v>583412</v>
      </c>
      <c r="I39" s="16">
        <f t="shared" ref="I39" si="22">I31</f>
        <v>542660.98295454565</v>
      </c>
      <c r="J39" s="16"/>
      <c r="K39" s="16"/>
      <c r="L39" s="16"/>
      <c r="M39" s="16"/>
      <c r="N39" s="16">
        <f t="shared" si="21"/>
        <v>0</v>
      </c>
      <c r="O39" s="16"/>
      <c r="P39" s="16">
        <v>1501750.7426136362</v>
      </c>
      <c r="Q39" s="16">
        <f>SUM(E39:P39)</f>
        <v>3918000.1573863626</v>
      </c>
      <c r="R39" s="9"/>
    </row>
    <row r="40" spans="1:18" ht="15.95" customHeight="1">
      <c r="A40" s="15"/>
      <c r="B40" s="513"/>
      <c r="C40" s="513"/>
      <c r="D40" s="217" t="s">
        <v>31</v>
      </c>
      <c r="E40" s="53">
        <f>E38+E39</f>
        <v>22838439.43181818</v>
      </c>
      <c r="F40" s="53">
        <f t="shared" ref="F40:K40" si="23">F38+F39</f>
        <v>21959945</v>
      </c>
      <c r="G40" s="53">
        <f t="shared" si="23"/>
        <v>25031202</v>
      </c>
      <c r="H40" s="53">
        <f t="shared" si="23"/>
        <v>26311159</v>
      </c>
      <c r="I40" s="53">
        <f t="shared" ref="I40" si="24">SUM(I33-I37)</f>
        <v>25636182.982954547</v>
      </c>
      <c r="J40" s="53">
        <f t="shared" ref="J40" si="25">SUM(J33-J37)</f>
        <v>24514687.409090906</v>
      </c>
      <c r="K40" s="53">
        <f t="shared" si="23"/>
        <v>30705867</v>
      </c>
      <c r="L40" s="53">
        <f t="shared" ref="L40" si="26">SUM(L33-L37)</f>
        <v>32875218</v>
      </c>
      <c r="M40" s="53">
        <f t="shared" ref="M40" si="27">SUM(M33-M37)</f>
        <v>33554906</v>
      </c>
      <c r="N40" s="53">
        <f t="shared" ref="N40:O40" si="28">SUM(N33-N37)</f>
        <v>35005845</v>
      </c>
      <c r="O40" s="53">
        <f t="shared" si="28"/>
        <v>34956692</v>
      </c>
      <c r="P40" s="53">
        <f>P38+P39</f>
        <v>40263318.742613643</v>
      </c>
      <c r="Q40" s="53">
        <f>SUM(E40:P40)</f>
        <v>353653462.5664773</v>
      </c>
      <c r="R40" s="9"/>
    </row>
    <row r="41" spans="1:18" ht="15.95" customHeight="1">
      <c r="A41" s="15"/>
      <c r="B41" s="513"/>
      <c r="C41" s="513"/>
      <c r="D41" s="104" t="s">
        <v>69</v>
      </c>
      <c r="E41" s="37">
        <f t="shared" ref="E41:Q41" si="29">E40/E7</f>
        <v>1.1090427183646097</v>
      </c>
      <c r="F41" s="37">
        <f t="shared" si="29"/>
        <v>1.0215030023391312</v>
      </c>
      <c r="G41" s="37">
        <f t="shared" si="29"/>
        <v>1.1173431467808728</v>
      </c>
      <c r="H41" s="37">
        <f t="shared" si="29"/>
        <v>1.1288864044441977</v>
      </c>
      <c r="I41" s="37">
        <f t="shared" si="29"/>
        <v>1.0588244156488056</v>
      </c>
      <c r="J41" s="37">
        <f t="shared" si="29"/>
        <v>0.96905074070987607</v>
      </c>
      <c r="K41" s="37">
        <f t="shared" si="29"/>
        <v>1.0753338114415356</v>
      </c>
      <c r="L41" s="37">
        <f t="shared" si="29"/>
        <v>1.1159469763959984</v>
      </c>
      <c r="M41" s="37">
        <f t="shared" si="29"/>
        <v>1.1050800773074099</v>
      </c>
      <c r="N41" s="37">
        <f t="shared" si="29"/>
        <v>1.1326157186866113</v>
      </c>
      <c r="O41" s="37">
        <f t="shared" si="29"/>
        <v>1.1244421608380617</v>
      </c>
      <c r="P41" s="37">
        <f t="shared" si="29"/>
        <v>1.2656712400847376</v>
      </c>
      <c r="Q41" s="37">
        <f t="shared" si="29"/>
        <v>1.1069133510147271</v>
      </c>
      <c r="R41" s="9"/>
    </row>
    <row r="42" spans="1:18" s="230" customFormat="1" ht="15.95" customHeight="1">
      <c r="B42" s="224"/>
      <c r="C42" s="224"/>
      <c r="D42" s="224"/>
      <c r="E42" s="225">
        <f>SUM(E40:G40)</f>
        <v>69829586.431818187</v>
      </c>
      <c r="F42" s="226"/>
      <c r="G42" s="227"/>
      <c r="H42" s="226">
        <f>SUM(H40:J40)</f>
        <v>76462029.392045453</v>
      </c>
      <c r="I42" s="226"/>
      <c r="J42" s="224"/>
      <c r="K42" s="228">
        <f>SUM(K40:M40)</f>
        <v>97135991</v>
      </c>
      <c r="L42" s="229"/>
      <c r="M42" s="224"/>
      <c r="N42" s="228">
        <f>SUM(N40:P40)</f>
        <v>110225855.74261364</v>
      </c>
      <c r="O42" s="224"/>
      <c r="P42" s="224"/>
      <c r="Q42" s="224"/>
    </row>
    <row r="43" spans="1:18" s="230" customFormat="1" ht="15.95" hidden="1" customHeight="1">
      <c r="B43" s="241"/>
      <c r="C43" s="241"/>
      <c r="D43" s="241"/>
      <c r="E43" s="242"/>
      <c r="F43" s="243"/>
      <c r="G43" s="244"/>
      <c r="H43" s="243"/>
      <c r="I43" s="243"/>
      <c r="J43" s="241"/>
      <c r="K43" s="245"/>
      <c r="L43" s="246"/>
      <c r="M43" s="241"/>
      <c r="N43" s="245"/>
      <c r="O43" s="241"/>
      <c r="P43" s="241"/>
      <c r="Q43" s="241"/>
    </row>
    <row r="44" spans="1:18" ht="21" hidden="1" customHeight="1">
      <c r="B44" s="7" t="s">
        <v>1581</v>
      </c>
      <c r="C44" s="21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8" ht="13.5" hidden="1" customHeight="1">
      <c r="A45" s="15"/>
      <c r="B45" s="502" t="s">
        <v>1582</v>
      </c>
      <c r="C45" s="502" t="s">
        <v>1578</v>
      </c>
      <c r="D45" s="502"/>
      <c r="E45" s="232" t="s">
        <v>3</v>
      </c>
      <c r="F45" s="232" t="s">
        <v>4</v>
      </c>
      <c r="G45" s="232" t="s">
        <v>5</v>
      </c>
      <c r="H45" s="232" t="s">
        <v>6</v>
      </c>
      <c r="I45" s="232" t="s">
        <v>7</v>
      </c>
      <c r="J45" s="232" t="s">
        <v>8</v>
      </c>
      <c r="K45" s="232" t="s">
        <v>9</v>
      </c>
      <c r="L45" s="232" t="s">
        <v>10</v>
      </c>
      <c r="M45" s="232" t="s">
        <v>11</v>
      </c>
      <c r="N45" s="232" t="s">
        <v>12</v>
      </c>
      <c r="O45" s="232" t="s">
        <v>15</v>
      </c>
      <c r="P45" s="232" t="s">
        <v>16</v>
      </c>
      <c r="Q45" s="232" t="s">
        <v>2</v>
      </c>
      <c r="R45" s="9" t="s">
        <v>1575</v>
      </c>
    </row>
    <row r="46" spans="1:18" ht="13.5" hidden="1" customHeight="1">
      <c r="A46" s="15"/>
      <c r="B46" s="513"/>
      <c r="C46" s="502" t="s">
        <v>1579</v>
      </c>
      <c r="D46" s="502"/>
      <c r="E46" s="233">
        <f>Q46/12</f>
        <v>250000000</v>
      </c>
      <c r="F46" s="233">
        <v>250000000</v>
      </c>
      <c r="G46" s="233">
        <v>250000000</v>
      </c>
      <c r="H46" s="233">
        <v>250000000</v>
      </c>
      <c r="I46" s="233">
        <v>250000000</v>
      </c>
      <c r="J46" s="233">
        <v>250000000</v>
      </c>
      <c r="K46" s="233">
        <v>250000000</v>
      </c>
      <c r="L46" s="233">
        <v>250000000</v>
      </c>
      <c r="M46" s="233">
        <v>250000000</v>
      </c>
      <c r="N46" s="233">
        <v>250000000</v>
      </c>
      <c r="O46" s="233">
        <v>250000000</v>
      </c>
      <c r="P46" s="233">
        <v>250000000</v>
      </c>
      <c r="Q46" s="234">
        <f>Q3*R46</f>
        <v>3000000000</v>
      </c>
      <c r="R46" s="223">
        <v>1</v>
      </c>
    </row>
    <row r="47" spans="1:18" ht="13.5" hidden="1" customHeight="1">
      <c r="A47" s="15"/>
      <c r="B47" s="513"/>
      <c r="C47" s="52" t="s">
        <v>17</v>
      </c>
      <c r="D47" s="42">
        <f>P11</f>
        <v>9181346228</v>
      </c>
      <c r="E47" s="42">
        <f>D47+E46</f>
        <v>9431346228</v>
      </c>
      <c r="F47" s="42">
        <f t="shared" ref="F47:P47" si="30">E47+F46</f>
        <v>9681346228</v>
      </c>
      <c r="G47" s="42">
        <f t="shared" si="30"/>
        <v>9931346228</v>
      </c>
      <c r="H47" s="42">
        <f t="shared" si="30"/>
        <v>10181346228</v>
      </c>
      <c r="I47" s="42">
        <f t="shared" si="30"/>
        <v>10431346228</v>
      </c>
      <c r="J47" s="42">
        <f t="shared" si="30"/>
        <v>10681346228</v>
      </c>
      <c r="K47" s="42">
        <f t="shared" si="30"/>
        <v>10931346228</v>
      </c>
      <c r="L47" s="42">
        <f t="shared" si="30"/>
        <v>11181346228</v>
      </c>
      <c r="M47" s="42">
        <f t="shared" si="30"/>
        <v>11431346228</v>
      </c>
      <c r="N47" s="42">
        <f t="shared" si="30"/>
        <v>11681346228</v>
      </c>
      <c r="O47" s="42">
        <f t="shared" si="30"/>
        <v>11931346228</v>
      </c>
      <c r="P47" s="42">
        <f t="shared" si="30"/>
        <v>12181346228</v>
      </c>
      <c r="Q47" s="235">
        <f>SUM(E47:P47)</f>
        <v>129676154736</v>
      </c>
      <c r="R47" s="9"/>
    </row>
    <row r="48" spans="1:18" ht="13.5" hidden="1" customHeight="1">
      <c r="A48" s="15"/>
      <c r="B48" s="513"/>
      <c r="C48" s="52" t="s">
        <v>49</v>
      </c>
      <c r="D48" s="42">
        <f>P12</f>
        <v>70696365.955600008</v>
      </c>
      <c r="E48" s="42">
        <f>E47*0.77%</f>
        <v>72621365.955600008</v>
      </c>
      <c r="F48" s="42">
        <f t="shared" ref="F48:P48" si="31">F47*0.77%</f>
        <v>74546365.955600008</v>
      </c>
      <c r="G48" s="42">
        <f t="shared" si="31"/>
        <v>76471365.955600008</v>
      </c>
      <c r="H48" s="42">
        <f t="shared" si="31"/>
        <v>78396365.955600008</v>
      </c>
      <c r="I48" s="42">
        <f t="shared" si="31"/>
        <v>80321365.955600008</v>
      </c>
      <c r="J48" s="42">
        <f t="shared" si="31"/>
        <v>82246365.955600008</v>
      </c>
      <c r="K48" s="42">
        <f t="shared" si="31"/>
        <v>84171365.955600008</v>
      </c>
      <c r="L48" s="42">
        <f t="shared" si="31"/>
        <v>86096365.955600008</v>
      </c>
      <c r="M48" s="42">
        <f t="shared" si="31"/>
        <v>88021365.955600008</v>
      </c>
      <c r="N48" s="42">
        <f t="shared" si="31"/>
        <v>89946365.955600008</v>
      </c>
      <c r="O48" s="42">
        <f t="shared" si="31"/>
        <v>91871365.955600008</v>
      </c>
      <c r="P48" s="42">
        <f t="shared" si="31"/>
        <v>93796365.955600008</v>
      </c>
      <c r="Q48" s="235">
        <v>687861944.58519995</v>
      </c>
      <c r="R48" s="9"/>
    </row>
    <row r="49" spans="1:18" ht="13.5" hidden="1" customHeight="1">
      <c r="A49" s="15"/>
      <c r="B49" s="513"/>
      <c r="C49" s="236" t="s">
        <v>1583</v>
      </c>
      <c r="D49" s="42">
        <f>P12</f>
        <v>70696365.955600008</v>
      </c>
      <c r="E49" s="42">
        <f>E48*50%</f>
        <v>36310682.977800004</v>
      </c>
      <c r="F49" s="42">
        <f t="shared" ref="F49:P49" si="32">F48*50%</f>
        <v>37273182.977800004</v>
      </c>
      <c r="G49" s="42">
        <f t="shared" si="32"/>
        <v>38235682.977800004</v>
      </c>
      <c r="H49" s="42">
        <f t="shared" si="32"/>
        <v>39198182.977800004</v>
      </c>
      <c r="I49" s="42">
        <f t="shared" si="32"/>
        <v>40160682.977800004</v>
      </c>
      <c r="J49" s="42">
        <f t="shared" si="32"/>
        <v>41123182.977800004</v>
      </c>
      <c r="K49" s="42">
        <f t="shared" si="32"/>
        <v>42085682.977800004</v>
      </c>
      <c r="L49" s="42">
        <f t="shared" si="32"/>
        <v>43048182.977800004</v>
      </c>
      <c r="M49" s="42">
        <f t="shared" si="32"/>
        <v>44010682.977800004</v>
      </c>
      <c r="N49" s="42">
        <f t="shared" si="32"/>
        <v>44973182.977800004</v>
      </c>
      <c r="O49" s="42">
        <f t="shared" si="32"/>
        <v>45935682.977800004</v>
      </c>
      <c r="P49" s="42">
        <f t="shared" si="32"/>
        <v>46898182.977800004</v>
      </c>
      <c r="Q49" s="235">
        <f>SUM(E49:P49)</f>
        <v>499253195.73360008</v>
      </c>
      <c r="R49" s="9"/>
    </row>
    <row r="50" spans="1:18" ht="13.5" hidden="1" customHeight="1">
      <c r="A50" s="15"/>
      <c r="B50" s="513"/>
      <c r="C50" s="52" t="s">
        <v>1584</v>
      </c>
      <c r="D50" s="42">
        <f>P14</f>
        <v>33227291.999132</v>
      </c>
      <c r="E50" s="43">
        <f>E48-E49</f>
        <v>36310682.977800004</v>
      </c>
      <c r="F50" s="43">
        <f t="shared" ref="F50:P50" si="33">F48-F49</f>
        <v>37273182.977800004</v>
      </c>
      <c r="G50" s="43">
        <f t="shared" si="33"/>
        <v>38235682.977800004</v>
      </c>
      <c r="H50" s="43">
        <f t="shared" si="33"/>
        <v>39198182.977800004</v>
      </c>
      <c r="I50" s="43">
        <f t="shared" si="33"/>
        <v>40160682.977800004</v>
      </c>
      <c r="J50" s="43">
        <f t="shared" si="33"/>
        <v>41123182.977800004</v>
      </c>
      <c r="K50" s="43">
        <f t="shared" si="33"/>
        <v>42085682.977800004</v>
      </c>
      <c r="L50" s="43">
        <f t="shared" si="33"/>
        <v>43048182.977800004</v>
      </c>
      <c r="M50" s="43">
        <f t="shared" si="33"/>
        <v>44010682.977800004</v>
      </c>
      <c r="N50" s="43">
        <f t="shared" si="33"/>
        <v>44973182.977800004</v>
      </c>
      <c r="O50" s="43">
        <f t="shared" si="33"/>
        <v>45935682.977800004</v>
      </c>
      <c r="P50" s="43">
        <f t="shared" si="33"/>
        <v>46898182.977800004</v>
      </c>
      <c r="Q50" s="237">
        <f>SUM(E50:P50)</f>
        <v>499253195.73360008</v>
      </c>
      <c r="R50" s="9"/>
    </row>
    <row r="51" spans="1:18" ht="13.5" hidden="1" customHeight="1">
      <c r="B51" s="231"/>
      <c r="C51" s="222"/>
      <c r="D51" s="11"/>
      <c r="E51" s="231" t="s">
        <v>1585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8" ht="13.5" hidden="1" customHeight="1">
      <c r="B52" s="220"/>
      <c r="C52" s="221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</row>
    <row r="53" spans="1:18" ht="13.5" hidden="1" customHeight="1">
      <c r="A53" s="15"/>
      <c r="B53" s="502" t="s">
        <v>1586</v>
      </c>
      <c r="C53" s="502" t="s">
        <v>1578</v>
      </c>
      <c r="D53" s="502"/>
      <c r="E53" s="232" t="s">
        <v>3</v>
      </c>
      <c r="F53" s="232" t="s">
        <v>4</v>
      </c>
      <c r="G53" s="232" t="s">
        <v>5</v>
      </c>
      <c r="H53" s="232" t="s">
        <v>6</v>
      </c>
      <c r="I53" s="232" t="s">
        <v>7</v>
      </c>
      <c r="J53" s="232" t="s">
        <v>8</v>
      </c>
      <c r="K53" s="232" t="s">
        <v>9</v>
      </c>
      <c r="L53" s="232" t="s">
        <v>10</v>
      </c>
      <c r="M53" s="232" t="s">
        <v>11</v>
      </c>
      <c r="N53" s="232" t="s">
        <v>12</v>
      </c>
      <c r="O53" s="232" t="s">
        <v>15</v>
      </c>
      <c r="P53" s="232" t="s">
        <v>16</v>
      </c>
      <c r="Q53" s="232" t="s">
        <v>2</v>
      </c>
      <c r="R53" s="9" t="s">
        <v>1575</v>
      </c>
    </row>
    <row r="54" spans="1:18" ht="13.5" hidden="1" customHeight="1">
      <c r="A54" s="15"/>
      <c r="B54" s="513"/>
      <c r="C54" s="502" t="s">
        <v>1579</v>
      </c>
      <c r="D54" s="502"/>
      <c r="E54" s="233">
        <f>Q54/12</f>
        <v>250000000</v>
      </c>
      <c r="F54" s="233">
        <f>E54</f>
        <v>250000000</v>
      </c>
      <c r="G54" s="233">
        <f t="shared" ref="G54:P54" si="34">F54</f>
        <v>250000000</v>
      </c>
      <c r="H54" s="233">
        <f t="shared" si="34"/>
        <v>250000000</v>
      </c>
      <c r="I54" s="233">
        <f t="shared" si="34"/>
        <v>250000000</v>
      </c>
      <c r="J54" s="233">
        <f t="shared" si="34"/>
        <v>250000000</v>
      </c>
      <c r="K54" s="233">
        <f t="shared" si="34"/>
        <v>250000000</v>
      </c>
      <c r="L54" s="233">
        <f t="shared" si="34"/>
        <v>250000000</v>
      </c>
      <c r="M54" s="233">
        <f t="shared" si="34"/>
        <v>250000000</v>
      </c>
      <c r="N54" s="233">
        <f t="shared" si="34"/>
        <v>250000000</v>
      </c>
      <c r="O54" s="233">
        <f t="shared" si="34"/>
        <v>250000000</v>
      </c>
      <c r="P54" s="233">
        <f t="shared" si="34"/>
        <v>250000000</v>
      </c>
      <c r="Q54" s="234">
        <f>Q46*R54</f>
        <v>3000000000</v>
      </c>
      <c r="R54" s="223">
        <v>1</v>
      </c>
    </row>
    <row r="55" spans="1:18" ht="13.5" hidden="1" customHeight="1">
      <c r="A55" s="15"/>
      <c r="B55" s="513"/>
      <c r="C55" s="52" t="s">
        <v>17</v>
      </c>
      <c r="D55" s="42">
        <f>P47</f>
        <v>12181346228</v>
      </c>
      <c r="E55" s="42">
        <f>D55+E54</f>
        <v>12431346228</v>
      </c>
      <c r="F55" s="42">
        <f t="shared" ref="F55:P55" si="35">E55+F54</f>
        <v>12681346228</v>
      </c>
      <c r="G55" s="42">
        <f t="shared" si="35"/>
        <v>12931346228</v>
      </c>
      <c r="H55" s="42">
        <f t="shared" si="35"/>
        <v>13181346228</v>
      </c>
      <c r="I55" s="42">
        <f t="shared" si="35"/>
        <v>13431346228</v>
      </c>
      <c r="J55" s="42">
        <f t="shared" si="35"/>
        <v>13681346228</v>
      </c>
      <c r="K55" s="42">
        <f t="shared" si="35"/>
        <v>13931346228</v>
      </c>
      <c r="L55" s="42">
        <f t="shared" si="35"/>
        <v>14181346228</v>
      </c>
      <c r="M55" s="42">
        <f t="shared" si="35"/>
        <v>14431346228</v>
      </c>
      <c r="N55" s="42">
        <f t="shared" si="35"/>
        <v>14681346228</v>
      </c>
      <c r="O55" s="42">
        <f t="shared" si="35"/>
        <v>14931346228</v>
      </c>
      <c r="P55" s="42">
        <f t="shared" si="35"/>
        <v>15181346228</v>
      </c>
      <c r="Q55" s="235">
        <f>SUM(E55:P55)</f>
        <v>165676154736</v>
      </c>
      <c r="R55" s="9"/>
    </row>
    <row r="56" spans="1:18" ht="13.5" hidden="1" customHeight="1">
      <c r="A56" s="15"/>
      <c r="B56" s="513"/>
      <c r="C56" s="52" t="s">
        <v>49</v>
      </c>
      <c r="D56" s="42">
        <f>P48</f>
        <v>93796365.955600008</v>
      </c>
      <c r="E56" s="42">
        <f>E55*0.77%</f>
        <v>95721365.955600008</v>
      </c>
      <c r="F56" s="42">
        <f t="shared" ref="F56:P56" si="36">F55*0.77%</f>
        <v>97646365.955600008</v>
      </c>
      <c r="G56" s="42">
        <f t="shared" si="36"/>
        <v>99571365.955600008</v>
      </c>
      <c r="H56" s="42">
        <f t="shared" si="36"/>
        <v>101496365.95560001</v>
      </c>
      <c r="I56" s="42">
        <f t="shared" si="36"/>
        <v>103421365.95560001</v>
      </c>
      <c r="J56" s="42">
        <f t="shared" si="36"/>
        <v>105346365.95560001</v>
      </c>
      <c r="K56" s="42">
        <f t="shared" si="36"/>
        <v>107271365.95560001</v>
      </c>
      <c r="L56" s="42">
        <f t="shared" si="36"/>
        <v>109196365.95560001</v>
      </c>
      <c r="M56" s="42">
        <f t="shared" si="36"/>
        <v>111121365.95560001</v>
      </c>
      <c r="N56" s="42">
        <f t="shared" si="36"/>
        <v>113046365.95560001</v>
      </c>
      <c r="O56" s="42">
        <f t="shared" si="36"/>
        <v>114971365.95560001</v>
      </c>
      <c r="P56" s="42">
        <f t="shared" si="36"/>
        <v>116896365.95560001</v>
      </c>
      <c r="Q56" s="235">
        <v>687861944.58519995</v>
      </c>
      <c r="R56" s="9"/>
    </row>
    <row r="57" spans="1:18" ht="13.5" hidden="1" customHeight="1">
      <c r="A57" s="15"/>
      <c r="B57" s="513"/>
      <c r="C57" s="236" t="s">
        <v>1587</v>
      </c>
      <c r="D57" s="42">
        <f>P49</f>
        <v>46898182.977800004</v>
      </c>
      <c r="E57" s="42">
        <f>E56*48%</f>
        <v>45946255.658688001</v>
      </c>
      <c r="F57" s="42">
        <f t="shared" ref="F57:P57" si="37">F56*48%</f>
        <v>46870255.658688001</v>
      </c>
      <c r="G57" s="42">
        <f t="shared" si="37"/>
        <v>47794255.658688001</v>
      </c>
      <c r="H57" s="42">
        <f t="shared" si="37"/>
        <v>48718255.658688001</v>
      </c>
      <c r="I57" s="42">
        <f t="shared" si="37"/>
        <v>49642255.658688001</v>
      </c>
      <c r="J57" s="42">
        <f t="shared" si="37"/>
        <v>50566255.658688001</v>
      </c>
      <c r="K57" s="42">
        <f t="shared" si="37"/>
        <v>51490255.658688001</v>
      </c>
      <c r="L57" s="42">
        <f t="shared" si="37"/>
        <v>52414255.658688001</v>
      </c>
      <c r="M57" s="42">
        <f t="shared" si="37"/>
        <v>53338255.658688001</v>
      </c>
      <c r="N57" s="42">
        <f t="shared" si="37"/>
        <v>54262255.658688001</v>
      </c>
      <c r="O57" s="42">
        <f t="shared" si="37"/>
        <v>55186255.658688001</v>
      </c>
      <c r="P57" s="42">
        <f t="shared" si="37"/>
        <v>56110255.658688001</v>
      </c>
      <c r="Q57" s="235">
        <f>SUM(E57:P57)</f>
        <v>612339067.90425599</v>
      </c>
      <c r="R57" s="9"/>
    </row>
    <row r="58" spans="1:18" ht="13.5" hidden="1" customHeight="1">
      <c r="A58" s="15"/>
      <c r="B58" s="513"/>
      <c r="C58" s="52" t="s">
        <v>1588</v>
      </c>
      <c r="D58" s="42">
        <f>P50</f>
        <v>46898182.977800004</v>
      </c>
      <c r="E58" s="43">
        <f>E56-E57</f>
        <v>49775110.296912007</v>
      </c>
      <c r="F58" s="43">
        <f t="shared" ref="F58:P58" si="38">F56-F57</f>
        <v>50776110.296912007</v>
      </c>
      <c r="G58" s="43">
        <f t="shared" si="38"/>
        <v>51777110.296912007</v>
      </c>
      <c r="H58" s="43">
        <f t="shared" si="38"/>
        <v>52778110.296912007</v>
      </c>
      <c r="I58" s="43">
        <f t="shared" si="38"/>
        <v>53779110.296912007</v>
      </c>
      <c r="J58" s="43">
        <f t="shared" si="38"/>
        <v>54780110.296912007</v>
      </c>
      <c r="K58" s="43">
        <f t="shared" si="38"/>
        <v>55781110.296912007</v>
      </c>
      <c r="L58" s="43">
        <f t="shared" si="38"/>
        <v>56782110.296912007</v>
      </c>
      <c r="M58" s="43">
        <f t="shared" si="38"/>
        <v>57783110.296912007</v>
      </c>
      <c r="N58" s="43">
        <f t="shared" si="38"/>
        <v>58784110.296912007</v>
      </c>
      <c r="O58" s="43">
        <f t="shared" si="38"/>
        <v>59785110.296912007</v>
      </c>
      <c r="P58" s="43">
        <f t="shared" si="38"/>
        <v>60786110.296912007</v>
      </c>
      <c r="Q58" s="237">
        <f>SUM(E58:P58)</f>
        <v>663367323.56294394</v>
      </c>
      <c r="R58" s="9"/>
    </row>
    <row r="59" spans="1:18" ht="13.5" hidden="1" customHeight="1">
      <c r="B59" s="231"/>
      <c r="C59" s="222"/>
      <c r="D59" s="11"/>
      <c r="E59" s="231" t="s">
        <v>1589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8" ht="13.5" hidden="1" customHeight="1">
      <c r="B60" s="220"/>
      <c r="C60" s="221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</row>
    <row r="61" spans="1:18" ht="13.5" hidden="1" customHeight="1">
      <c r="A61" s="15"/>
      <c r="B61" s="502" t="s">
        <v>1590</v>
      </c>
      <c r="C61" s="514" t="s">
        <v>1578</v>
      </c>
      <c r="D61" s="514"/>
      <c r="E61" s="218" t="s">
        <v>3</v>
      </c>
      <c r="F61" s="218" t="s">
        <v>4</v>
      </c>
      <c r="G61" s="218" t="s">
        <v>5</v>
      </c>
      <c r="H61" s="218" t="s">
        <v>6</v>
      </c>
      <c r="I61" s="218" t="s">
        <v>7</v>
      </c>
      <c r="J61" s="218" t="s">
        <v>8</v>
      </c>
      <c r="K61" s="218" t="s">
        <v>9</v>
      </c>
      <c r="L61" s="218" t="s">
        <v>10</v>
      </c>
      <c r="M61" s="218" t="s">
        <v>11</v>
      </c>
      <c r="N61" s="218" t="s">
        <v>12</v>
      </c>
      <c r="O61" s="218" t="s">
        <v>15</v>
      </c>
      <c r="P61" s="218" t="s">
        <v>16</v>
      </c>
      <c r="Q61" s="218" t="s">
        <v>2</v>
      </c>
      <c r="R61" s="9" t="s">
        <v>1575</v>
      </c>
    </row>
    <row r="62" spans="1:18" ht="13.5" hidden="1" customHeight="1">
      <c r="A62" s="15"/>
      <c r="B62" s="513"/>
      <c r="C62" s="502" t="s">
        <v>1579</v>
      </c>
      <c r="D62" s="502"/>
      <c r="E62" s="233">
        <f>Q62/12</f>
        <v>250000000</v>
      </c>
      <c r="F62" s="233">
        <f>E62</f>
        <v>250000000</v>
      </c>
      <c r="G62" s="233">
        <f t="shared" ref="G62:P62" si="39">F62</f>
        <v>250000000</v>
      </c>
      <c r="H62" s="233">
        <f t="shared" si="39"/>
        <v>250000000</v>
      </c>
      <c r="I62" s="233">
        <f t="shared" si="39"/>
        <v>250000000</v>
      </c>
      <c r="J62" s="233">
        <f t="shared" si="39"/>
        <v>250000000</v>
      </c>
      <c r="K62" s="233">
        <f t="shared" si="39"/>
        <v>250000000</v>
      </c>
      <c r="L62" s="233">
        <f t="shared" si="39"/>
        <v>250000000</v>
      </c>
      <c r="M62" s="233">
        <f t="shared" si="39"/>
        <v>250000000</v>
      </c>
      <c r="N62" s="233">
        <f t="shared" si="39"/>
        <v>250000000</v>
      </c>
      <c r="O62" s="233">
        <f t="shared" si="39"/>
        <v>250000000</v>
      </c>
      <c r="P62" s="233">
        <f t="shared" si="39"/>
        <v>250000000</v>
      </c>
      <c r="Q62" s="234">
        <f>Q54*R62</f>
        <v>3000000000</v>
      </c>
      <c r="R62" s="223">
        <v>1</v>
      </c>
    </row>
    <row r="63" spans="1:18" ht="13.5" hidden="1" customHeight="1">
      <c r="A63" s="15"/>
      <c r="B63" s="513"/>
      <c r="C63" s="52" t="s">
        <v>17</v>
      </c>
      <c r="D63" s="42">
        <f>P55</f>
        <v>15181346228</v>
      </c>
      <c r="E63" s="42">
        <f>D63+E62</f>
        <v>15431346228</v>
      </c>
      <c r="F63" s="42">
        <f t="shared" ref="F63:P63" si="40">E63+F62</f>
        <v>15681346228</v>
      </c>
      <c r="G63" s="42">
        <f t="shared" si="40"/>
        <v>15931346228</v>
      </c>
      <c r="H63" s="42">
        <f t="shared" si="40"/>
        <v>16181346228</v>
      </c>
      <c r="I63" s="42">
        <f t="shared" si="40"/>
        <v>16431346228</v>
      </c>
      <c r="J63" s="42">
        <f t="shared" si="40"/>
        <v>16681346228</v>
      </c>
      <c r="K63" s="42">
        <f t="shared" si="40"/>
        <v>16931346228</v>
      </c>
      <c r="L63" s="42">
        <f t="shared" si="40"/>
        <v>17181346228</v>
      </c>
      <c r="M63" s="42">
        <f t="shared" si="40"/>
        <v>17431346228</v>
      </c>
      <c r="N63" s="42">
        <f t="shared" si="40"/>
        <v>17681346228</v>
      </c>
      <c r="O63" s="42">
        <f t="shared" si="40"/>
        <v>17931346228</v>
      </c>
      <c r="P63" s="42">
        <f t="shared" si="40"/>
        <v>18181346228</v>
      </c>
      <c r="Q63" s="235">
        <f>SUM(E63:P63)</f>
        <v>201676154736</v>
      </c>
      <c r="R63" s="9"/>
    </row>
    <row r="64" spans="1:18" ht="13.5" hidden="1" customHeight="1">
      <c r="A64" s="15"/>
      <c r="B64" s="513"/>
      <c r="C64" s="52" t="s">
        <v>49</v>
      </c>
      <c r="D64" s="42">
        <f>P56</f>
        <v>116896365.95560001</v>
      </c>
      <c r="E64" s="42">
        <f>E63*0.77%</f>
        <v>118821365.95560001</v>
      </c>
      <c r="F64" s="42">
        <f t="shared" ref="F64:P64" si="41">F63*0.77%</f>
        <v>120746365.95560001</v>
      </c>
      <c r="G64" s="42">
        <f t="shared" si="41"/>
        <v>122671365.95560001</v>
      </c>
      <c r="H64" s="42">
        <f t="shared" si="41"/>
        <v>124596365.95560001</v>
      </c>
      <c r="I64" s="42">
        <f t="shared" si="41"/>
        <v>126521365.95560001</v>
      </c>
      <c r="J64" s="42">
        <f t="shared" si="41"/>
        <v>128446365.95560001</v>
      </c>
      <c r="K64" s="42">
        <f t="shared" si="41"/>
        <v>130371365.95560001</v>
      </c>
      <c r="L64" s="42">
        <f t="shared" si="41"/>
        <v>132296365.95560001</v>
      </c>
      <c r="M64" s="42">
        <f t="shared" si="41"/>
        <v>134221365.95559999</v>
      </c>
      <c r="N64" s="42">
        <f t="shared" si="41"/>
        <v>136146365.95559999</v>
      </c>
      <c r="O64" s="42">
        <f t="shared" si="41"/>
        <v>138071365.95559999</v>
      </c>
      <c r="P64" s="42">
        <f t="shared" si="41"/>
        <v>139996365.95559999</v>
      </c>
      <c r="Q64" s="235">
        <v>687861944.58519995</v>
      </c>
      <c r="R64" s="9"/>
    </row>
    <row r="65" spans="1:18" ht="13.5" hidden="1" customHeight="1">
      <c r="A65" s="15"/>
      <c r="B65" s="513"/>
      <c r="C65" s="52" t="s">
        <v>1587</v>
      </c>
      <c r="D65" s="42">
        <f>P57</f>
        <v>56110255.658688001</v>
      </c>
      <c r="E65" s="42">
        <f>E64*48%</f>
        <v>57034255.658688001</v>
      </c>
      <c r="F65" s="42">
        <f t="shared" ref="F65:P65" si="42">F64*48%</f>
        <v>57958255.658688001</v>
      </c>
      <c r="G65" s="42">
        <f t="shared" si="42"/>
        <v>58882255.658688001</v>
      </c>
      <c r="H65" s="42">
        <f t="shared" si="42"/>
        <v>59806255.658688001</v>
      </c>
      <c r="I65" s="42">
        <f t="shared" si="42"/>
        <v>60730255.658688001</v>
      </c>
      <c r="J65" s="42">
        <f t="shared" si="42"/>
        <v>61654255.658688001</v>
      </c>
      <c r="K65" s="42">
        <f t="shared" si="42"/>
        <v>62578255.658688001</v>
      </c>
      <c r="L65" s="42">
        <f t="shared" si="42"/>
        <v>63502255.658688001</v>
      </c>
      <c r="M65" s="42">
        <f t="shared" si="42"/>
        <v>64426255.658687994</v>
      </c>
      <c r="N65" s="42">
        <f t="shared" si="42"/>
        <v>65350255.658687994</v>
      </c>
      <c r="O65" s="42">
        <f t="shared" si="42"/>
        <v>66274255.658687994</v>
      </c>
      <c r="P65" s="42">
        <f t="shared" si="42"/>
        <v>67198255.658687994</v>
      </c>
      <c r="Q65" s="235">
        <f>SUM(E65:P65)</f>
        <v>745395067.90425587</v>
      </c>
      <c r="R65" s="9"/>
    </row>
    <row r="66" spans="1:18" ht="13.5" hidden="1" customHeight="1">
      <c r="A66" s="15"/>
      <c r="B66" s="513"/>
      <c r="C66" s="52" t="s">
        <v>1588</v>
      </c>
      <c r="D66" s="42">
        <f>P58</f>
        <v>60786110.296912007</v>
      </c>
      <c r="E66" s="43">
        <f>E64-E65</f>
        <v>61787110.296912007</v>
      </c>
      <c r="F66" s="43">
        <f t="shared" ref="F66:P66" si="43">F64-F65</f>
        <v>62788110.296912007</v>
      </c>
      <c r="G66" s="43">
        <f t="shared" si="43"/>
        <v>63789110.296912007</v>
      </c>
      <c r="H66" s="43">
        <f t="shared" si="43"/>
        <v>64790110.296912007</v>
      </c>
      <c r="I66" s="43">
        <f t="shared" si="43"/>
        <v>65791110.296912007</v>
      </c>
      <c r="J66" s="43">
        <f t="shared" si="43"/>
        <v>66792110.296912007</v>
      </c>
      <c r="K66" s="43">
        <f t="shared" si="43"/>
        <v>67793110.296912014</v>
      </c>
      <c r="L66" s="43">
        <f t="shared" si="43"/>
        <v>68794110.296912014</v>
      </c>
      <c r="M66" s="43">
        <f t="shared" si="43"/>
        <v>69795110.296912</v>
      </c>
      <c r="N66" s="43">
        <f t="shared" si="43"/>
        <v>70796110.296912</v>
      </c>
      <c r="O66" s="43">
        <f t="shared" si="43"/>
        <v>71797110.296912</v>
      </c>
      <c r="P66" s="43">
        <f t="shared" si="43"/>
        <v>72798110.296912</v>
      </c>
      <c r="Q66" s="237">
        <f>SUM(E66:P66)</f>
        <v>807511323.56294394</v>
      </c>
      <c r="R66" s="9"/>
    </row>
    <row r="67" spans="1:18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</sheetData>
  <mergeCells count="26">
    <mergeCell ref="B2:B7"/>
    <mergeCell ref="B9:B14"/>
    <mergeCell ref="B45:B50"/>
    <mergeCell ref="B53:B58"/>
    <mergeCell ref="E17:G17"/>
    <mergeCell ref="C45:D45"/>
    <mergeCell ref="H17:J17"/>
    <mergeCell ref="K17:M17"/>
    <mergeCell ref="N17:P17"/>
    <mergeCell ref="Q17:Q18"/>
    <mergeCell ref="C2:D2"/>
    <mergeCell ref="C3:D3"/>
    <mergeCell ref="C9:D9"/>
    <mergeCell ref="C10:D10"/>
    <mergeCell ref="B61:B66"/>
    <mergeCell ref="C61:D61"/>
    <mergeCell ref="C62:D62"/>
    <mergeCell ref="B17:B41"/>
    <mergeCell ref="C17:D18"/>
    <mergeCell ref="C19:C25"/>
    <mergeCell ref="C26:C33"/>
    <mergeCell ref="C34:C37"/>
    <mergeCell ref="C38:C41"/>
    <mergeCell ref="C46:D46"/>
    <mergeCell ref="C53:D53"/>
    <mergeCell ref="C54:D54"/>
  </mergeCells>
  <phoneticPr fontId="3" type="noConversion"/>
  <pageMargins left="0.7" right="0.7" top="0.75" bottom="0.75" header="0.3" footer="0.3"/>
  <ignoredErrors>
    <ignoredError sqref="K40 K38 M25" 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26영업목표</vt:lpstr>
      <vt:lpstr>26매출목표</vt:lpstr>
      <vt:lpstr>26목표관리</vt:lpstr>
      <vt:lpstr>26매출관리</vt:lpstr>
      <vt:lpstr>26인바운드관리</vt:lpstr>
      <vt:lpstr>26아웃바운드관리</vt:lpstr>
      <vt:lpstr>25목표관리</vt:lpstr>
      <vt:lpstr>25매출관리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이정현</dc:creator>
  <cp:lastModifiedBy>이종민</cp:lastModifiedBy>
  <cp:lastPrinted>2025-12-18T00:55:04Z</cp:lastPrinted>
  <dcterms:created xsi:type="dcterms:W3CDTF">2023-10-25T08:40:17Z</dcterms:created>
  <dcterms:modified xsi:type="dcterms:W3CDTF">2026-05-06T10:18:52Z</dcterms:modified>
</cp:coreProperties>
</file>